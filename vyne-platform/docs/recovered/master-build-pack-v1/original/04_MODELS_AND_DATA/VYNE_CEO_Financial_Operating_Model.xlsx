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arket" sheetId="3" state="visible" r:id="rId5"/>
    <sheet name="Funnels" sheetId="4" state="visible" r:id="rId6"/>
    <sheet name="Revenue" sheetId="5" state="visible" r:id="rId7"/>
    <sheet name="Recruiters" sheetId="6" state="visible" r:id="rId8"/>
    <sheet name="Hiring &amp; Expenses" sheetId="7" state="visible" r:id="rId9"/>
    <sheet name="Startup Budget" sheetId="8" state="visible" r:id="rId10"/>
    <sheet name="P&amp;L" sheetId="9" state="visible" r:id="rId11"/>
    <sheet name="Cash Flow" sheetId="10" state="visible" r:id="rId12"/>
    <sheet name="Sensitivity" sheetId="11" state="visible" r:id="rId13"/>
    <sheet name="Commission Stress Test" sheetId="12" state="visible" r:id="rId14"/>
    <sheet name="Growth Engine" sheetId="13" state="visible" r:id="rId15"/>
    <sheet name="Founder &amp; Capita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<sst xmlns="http://schemas.openxmlformats.org/spreadsheetml/2006/main" count="528" uniqueCount="445">
  <si>
    <t xml:space="preserve">VYNE CEO Financial Operating Model</t>
  </si>
  <si>
    <t xml:space="preserve">VYNE Strategies — technology-enabled executive recruiting platform for financial advisors</t>
  </si>
  <si>
    <t xml:space="preserve">Founder &amp; Chief Executive Officer: Mike Davies</t>
  </si>
  <si>
    <t xml:space="preserve">HOW TO USE</t>
  </si>
  <si>
    <t xml:space="preserve">1. All inputs live on the Assumptions tab (blue cells). Every other tab calculates from it.</t>
  </si>
  <si>
    <t xml:space="preserve">2. Switch scenarios with the yellow cell on Assumptions (1=Conservative, 2=Expected, 3=Aggressive). The entire model repopulates.</t>
  </si>
  <si>
    <t xml:space="preserve">3. Color code: BLUE = input you can change | BLACK = formula | GREEN = link to another tab.</t>
  </si>
  <si>
    <t xml:space="preserve">TAB GUIDE</t>
  </si>
  <si>
    <t xml:space="preserve">Market — TAM / SAM / SOM and achieved market share</t>
  </si>
  <si>
    <t xml:space="preserve">Funnels — website inbound funnel, recruiter cold-call funnel, conversion &amp; close rates, placement volume</t>
  </si>
  <si>
    <t xml:space="preserve">Revenue — placements by band, Annual Verified T12 Revenue Hired, tiered fees (8% / 10% / 12–14%), collections</t>
  </si>
  <si>
    <t xml:space="preserve">Recruiters — per-recruiter unit economics (1099 contractor model) and the recommended commission tier structure</t>
  </si>
  <si>
    <t xml:space="preserve">Hiring &amp; Expenses — hiring plan, payroll, AI / marketing / travel / legal / software budgets</t>
  </si>
  <si>
    <t xml:space="preserve">Startup Budget — one-time launch costs and opening cash</t>
  </si>
  <si>
    <t xml:space="preserve">P&amp;L — 5-year income statement, break-even, operating margin targets</t>
  </si>
  <si>
    <t xml:space="preserve">Cash Flow — annual 5-year and monthly Year-1 cash, clawback reserve, cash reserve, peak cash need</t>
  </si>
  <si>
    <t xml:space="preserve">Sensitivity — commission % × volume grid; what VYNE can sustainably afford</t>
  </si>
  <si>
    <t xml:space="preserve">Founder &amp; Capital — capital allocation waterfall and founder economics</t>
  </si>
  <si>
    <t xml:space="preserve">GOVERNING DEFINITIONS</t>
  </si>
  <si>
    <t xml:space="preserve">• Annual Verified T12 Revenue Hired: trailing 12-month revenue officially verified by the hiring firm for advisors/teams whose official hire date occurs during the applicable calendar year.</t>
  </si>
  <si>
    <t xml:space="preserve">• Commission Year: January 1 through December 31. Commission tiers reset every January 1.</t>
  </si>
  <si>
    <t xml:space="preserve">• Commission percentages apply only to the actual VYNE Strategies fee collected — never to advisor T12 revenue.</t>
  </si>
  <si>
    <t xml:space="preserve">• VYNE-generated leads pay a lower commission than recruiter-generated leads because VYNE created the platform, brand, marketing, AI, website, and inbound lead engine.</t>
  </si>
  <si>
    <t xml:space="preserve">• Compensation recommendations are NOT final until the Sensitivity tab confirms affordability at target operating margins.</t>
  </si>
  <si>
    <t xml:space="preserve">STRUCTURE: recruiters are 1099 independent contractors — no base salary, no payroll load; a recoverable draw ($4,000/mo, months 1-6) is provisioned via an unrecovered-draw allowance per new hire. Founder and ops are W-2/owner comp with a 15% load.</t>
  </si>
  <si>
    <t xml:space="preserve">This model contains no RBC data. All market figures are planning estimates pending cited third-party sources.</t>
  </si>
  <si>
    <t xml:space="preserve">VYNE Strategies — Master Assumptions (single input source)</t>
  </si>
  <si>
    <t xml:space="preserve">Active Scenario (1=Conservative, 2=Expected, 3=Aggressive):</t>
  </si>
  <si>
    <t xml:space="preserve">Assumption</t>
  </si>
  <si>
    <t xml:space="preserve">Conservative</t>
  </si>
  <si>
    <t xml:space="preserve">Expected</t>
  </si>
  <si>
    <t xml:space="preserve">Aggressive</t>
  </si>
  <si>
    <t xml:space="preserve">ACTIVE</t>
  </si>
  <si>
    <t xml:space="preserve">Notes</t>
  </si>
  <si>
    <t xml:space="preserve">MARKET</t>
  </si>
  <si>
    <t xml:space="preserve">Experienced advisor moves per year (&gt;$500K T12)</t>
  </si>
  <si>
    <t xml:space="preserve">Estimate; replace with cited industry data</t>
  </si>
  <si>
    <t xml:space="preserve">Avg verified T12 per market move ($mm)</t>
  </si>
  <si>
    <t xml:space="preserve">$ millions</t>
  </si>
  <si>
    <t xml:space="preserve">Blended market recruiting fee (% of T12)</t>
  </si>
  <si>
    <t xml:space="preserve">SAM as % of TAM</t>
  </si>
  <si>
    <t xml:space="preserve">Channels VYNE serves: wirehouse, regional, independent</t>
  </si>
  <si>
    <t xml:space="preserve">PLACEMENT FEES — VYNE fee as % of Verified T12</t>
  </si>
  <si>
    <t xml:space="preserve">Fee — Band A (&lt;$5M T12)</t>
  </si>
  <si>
    <t xml:space="preserve">Locked tier structure</t>
  </si>
  <si>
    <t xml:space="preserve">Fee — Band B ($5–10M T12)</t>
  </si>
  <si>
    <t xml:space="preserve">Fee — Band C (&gt;$10M T12)</t>
  </si>
  <si>
    <t xml:space="preserve">Contract range 12–14%</t>
  </si>
  <si>
    <t xml:space="preserve">Avg verified T12 — Band A ($mm)</t>
  </si>
  <si>
    <t xml:space="preserve">Avg verified T12 — Band B ($mm)</t>
  </si>
  <si>
    <t xml:space="preserve">Avg verified T12 — Band C ($mm)</t>
  </si>
  <si>
    <t xml:space="preserve">Placement mix — Band A</t>
  </si>
  <si>
    <t xml:space="preserve">Mix must sum to 100%</t>
  </si>
  <si>
    <t xml:space="preserve">Placement mix — Band B</t>
  </si>
  <si>
    <t xml:space="preserve">Placement mix — Band C</t>
  </si>
  <si>
    <t xml:space="preserve">WEBSITE / INBOUND LEAD FUNNEL</t>
  </si>
  <si>
    <t xml:space="preserve">Monthly website visitors — Year 1</t>
  </si>
  <si>
    <t xml:space="preserve">AEO-driven inbound</t>
  </si>
  <si>
    <t xml:space="preserve">Monthly website visitors — Year 2</t>
  </si>
  <si>
    <t xml:space="preserve">Monthly website visitors — Year 3</t>
  </si>
  <si>
    <t xml:space="preserve">Monthly website visitors — Year 4</t>
  </si>
  <si>
    <t xml:space="preserve">Monthly website visitors — Year 5</t>
  </si>
  <si>
    <t xml:space="preserve">Visitor → lead conversion</t>
  </si>
  <si>
    <t xml:space="preserve">Lead → qualified consultation</t>
  </si>
  <si>
    <t xml:space="preserve">Qualified → engaged advisor</t>
  </si>
  <si>
    <t xml:space="preserve">Engaged → placed (inbound close rate)</t>
  </si>
  <si>
    <t xml:space="preserve">RECRUITER COLD-CALL FUNNEL</t>
  </si>
  <si>
    <t xml:space="preserve">Dials per recruiter per day</t>
  </si>
  <si>
    <t xml:space="preserve">Working days per year</t>
  </si>
  <si>
    <t xml:space="preserve">Dial → live conversation</t>
  </si>
  <si>
    <t xml:space="preserve">Conversation → meeting</t>
  </si>
  <si>
    <t xml:space="preserve">Meeting → engaged advisor</t>
  </si>
  <si>
    <t xml:space="preserve">Engaged → placed (outbound close rate)</t>
  </si>
  <si>
    <t xml:space="preserve">New recruiter Year-1 productivity ramp</t>
  </si>
  <si>
    <t xml:space="preserve">TEAM &amp; HIRING PLAN</t>
  </si>
  <si>
    <t xml:space="preserve">Recruiters on staff — Year 2</t>
  </si>
  <si>
    <t xml:space="preserve">Recruiters on staff — Year 3</t>
  </si>
  <si>
    <t xml:space="preserve">Recruiters on staff — Year 4</t>
  </si>
  <si>
    <t xml:space="preserve">Recruiters on staff — Year 5</t>
  </si>
  <si>
    <t xml:space="preserve">Founder-led placements — Year 1</t>
  </si>
  <si>
    <t xml:space="preserve">Founder-led placements — Year 2</t>
  </si>
  <si>
    <t xml:space="preserve">Founder-led placements — Year 3</t>
  </si>
  <si>
    <t xml:space="preserve">Founder-led placements — Year 4</t>
  </si>
  <si>
    <t xml:space="preserve">Founder-led placements — Year 5</t>
  </si>
  <si>
    <t xml:space="preserve">Founder base salary — Year 1</t>
  </si>
  <si>
    <t xml:space="preserve">Salary growth per year</t>
  </si>
  <si>
    <t xml:space="preserve">Recoverable draw — new recruiter ($/mo, months 1-6)</t>
  </si>
  <si>
    <t xml:space="preserve">1099 draw against commissions; recouped from commission runs</t>
  </si>
  <si>
    <t xml:space="preserve">Unrecovered-draw provision per new recruiter</t>
  </si>
  <si>
    <t xml:space="preserve">Expected loss on draws to non-performing new contractors</t>
  </si>
  <si>
    <t xml:space="preserve">Ops manager start year</t>
  </si>
  <si>
    <t xml:space="preserve">Ops manager salary (at hire)</t>
  </si>
  <si>
    <t xml:space="preserve">Payroll tax &amp; benefits load (W-2 roles only)</t>
  </si>
  <si>
    <t xml:space="preserve">COMMISSIONS — % of collected VYNE fee (NOT advisor T12)</t>
  </si>
  <si>
    <t xml:space="preserve">Recruiter-sourced lead: blended payout</t>
  </si>
  <si>
    <t xml:space="preserve">Tier detail on Recruiters tab; resets each Jan 1</t>
  </si>
  <si>
    <t xml:space="preserve">VYNE-generated lead: blended payout</t>
  </si>
  <si>
    <t xml:space="preserve">Lower — VYNE built brand/AI/inbound engine</t>
  </si>
  <si>
    <t xml:space="preserve">OPERATING EXPENSES — Year 1 annual run rate</t>
  </si>
  <si>
    <t xml:space="preserve">AI budget (Claude API, agents, tools)</t>
  </si>
  <si>
    <t xml:space="preserve">Marketing (content, AEO, LinkedIn, design)</t>
  </si>
  <si>
    <t xml:space="preserve">Travel &amp; business development</t>
  </si>
  <si>
    <t xml:space="preserve">Legal / accounting / insurance</t>
  </si>
  <si>
    <t xml:space="preserve">CRM / software / email / computers</t>
  </si>
  <si>
    <t xml:space="preserve">Office &amp; miscellaneous</t>
  </si>
  <si>
    <t xml:space="preserve">Opex growth per year</t>
  </si>
  <si>
    <t xml:space="preserve">FINANCE &amp; RESERVES</t>
  </si>
  <si>
    <t xml:space="preserve">% of billed fees collected in-year</t>
  </si>
  <si>
    <t xml:space="preserve">Remainder collects early next year</t>
  </si>
  <si>
    <t xml:space="preserve">Clawback reserve (% of collections)</t>
  </si>
  <si>
    <t xml:space="preserve">Held 12 months; released after retention period</t>
  </si>
  <si>
    <t xml:space="preserve">Cash reserve target (months of fixed cost)</t>
  </si>
  <si>
    <t xml:space="preserve">Reinvestment % of pre-distribution profit</t>
  </si>
  <si>
    <t xml:space="preserve">AI, marketing, data</t>
  </si>
  <si>
    <t xml:space="preserve">Founder capital contribution</t>
  </si>
  <si>
    <t xml:space="preserve">Sized so Year-1 monthly cash never goes negative (see Cash Flow peak need)</t>
  </si>
  <si>
    <t xml:space="preserve">GROWTH ENGINE — INBOUND (VYNE-generated) FUNNEL</t>
  </si>
  <si>
    <t xml:space="preserve">Lead → discovery call</t>
  </si>
  <si>
    <t xml:space="preserve">Discovery → qualified opportunity</t>
  </si>
  <si>
    <t xml:space="preserve">Qualified → offer received</t>
  </si>
  <si>
    <t xml:space="preserve">Offer → official hire</t>
  </si>
  <si>
    <t xml:space="preserve">GROWTH ENGINE — OUTBOUND / COLD-CALL FUNNEL</t>
  </si>
  <si>
    <t xml:space="preserve">Conversation → lead (interested advisor)</t>
  </si>
  <si>
    <t xml:space="preserve">Dial attempts per unique advisor</t>
  </si>
  <si>
    <t xml:space="preserve">GROWTH ENGINE — REFERRAL FUNNEL</t>
  </si>
  <si>
    <t xml:space="preserve">Referral lead → discovery call</t>
  </si>
  <si>
    <t xml:space="preserve">Referrals per active relationship per year</t>
  </si>
  <si>
    <t xml:space="preserve">Advisors placed, COIs, attorneys, CPAs, branch managers</t>
  </si>
  <si>
    <t xml:space="preserve">GROWTH ENGINE — CONFERENCE / EVENT FUNNEL</t>
  </si>
  <si>
    <t xml:space="preserve">Event conversation → lead</t>
  </si>
  <si>
    <t xml:space="preserve">Qualified leads generated per event</t>
  </si>
  <si>
    <t xml:space="preserve">GROWTH ENGINE — SHARED</t>
  </si>
  <si>
    <t xml:space="preserve">Firm introductions per qualified advisor</t>
  </si>
  <si>
    <t xml:space="preserve">Diagnose → Map → Model → Move process</t>
  </si>
  <si>
    <t xml:space="preserve">Max placements processed per recruiter/yr</t>
  </si>
  <si>
    <t xml:space="preserve">Desk capacity incl. assigned inbound/referral leads</t>
  </si>
  <si>
    <t xml:space="preserve">Founder-led hire capacity per year</t>
  </si>
  <si>
    <t xml:space="preserve">Recruiters per ops manager</t>
  </si>
  <si>
    <t xml:space="preserve">TAM / SAM / SOM &amp; Market Share Model</t>
  </si>
  <si>
    <t xml:space="preserve">TAM — total US advisor recruiting fee pool</t>
  </si>
  <si>
    <t xml:space="preserve">Moves × avg T12 × blended fee</t>
  </si>
  <si>
    <t xml:space="preserve">SAM — VYNE-serviceable channels</t>
  </si>
  <si>
    <t xml:space="preserve">SOM — VYNE ACHIEVED SHARE (modeled)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</si>
  <si>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</si>
  <si>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</si>
  <si>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</si>
  <si>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</si>
  <si>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</si>
  <si>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VYNE billed revenue</t>
  </si>
  <si>
    <t xml:space="preserve">Share of SAM (revenue)</t>
  </si>
  <si>
    <t xml:space="preserve">Placements / market moves (unit share)</t>
  </si>
  <si>
    <t xml:space="preserve">Lead Funnels &amp; Placement Volume</t>
  </si>
  <si>
    <t xml:space="preserve">WEBSITE / INBOUND FUNNEL</t>
  </si>
  <si>
    <t xml:space="preserve">Monthly visitors</t>
  </si>
  <si>
    <t xml:space="preserve">Annual visitors</t>
  </si>
  <si>
    <t xml:space="preserve">Leads (form fills)</t>
  </si>
  <si>
    <t xml:space="preserve">Qualified consultations</t>
  </si>
  <si>
    <t xml:space="preserve">Engaged advisors</t>
  </si>
  <si>
    <t xml:space="preserve">Placements — inbound (VYNE-generated)</t>
  </si>
  <si>
    <t xml:space="preserve">Recruiters on staff (EOY)</t>
  </si>
  <si>
    <t xml:space="preserve">Effective recruiter FTEs (ramp-adjusted)</t>
  </si>
  <si>
    <t xml:space="preserve">Dials per recruiter per year</t>
  </si>
  <si>
    <t xml:space="preserve">Conversations per recruiter</t>
  </si>
  <si>
    <t xml:space="preserve">Meetings per recruiter</t>
  </si>
  <si>
    <t xml:space="preserve">Engaged advisors per recruiter</t>
  </si>
  <si>
    <t xml:space="preserve">Placements per recruiter (mature)</t>
  </si>
  <si>
    <t xml:space="preserve">Placements — recruiter-sourced</t>
  </si>
  <si>
    <t xml:space="preserve">FOUNDER NETWORK</t>
  </si>
  <si>
    <t xml:space="preserve">Placements — founder-led (no commission)</t>
  </si>
  <si>
    <t xml:space="preserve">TOTAL</t>
  </si>
  <si>
    <t xml:space="preserve">TOTAL PLACEMENTS</t>
  </si>
  <si>
    <t xml:space="preserve">Source mix — VYNE-generated</t>
  </si>
  <si>
    <t xml:space="preserve">Source mix — recruiter-sourced</t>
  </si>
  <si>
    <t xml:space="preserve">Source mix — founder-led</t>
  </si>
  <si>
    <t xml:space="preserve">Revenue Model — Fees on Annual Verified T12 Revenue Hired</t>
  </si>
  <si>
    <t xml:space="preserve">PLACEMENTS BY BAND</t>
  </si>
  <si>
    <t xml:space="preserve">Total placements</t>
  </si>
  <si>
    <t xml:space="preserve">Band A placements (&lt;$5M T12)</t>
  </si>
  <si>
    <t xml:space="preserve">Band B placements ($5–10M)</t>
  </si>
  <si>
    <t xml:space="preserve">Band C placements (&gt;$10M)</t>
  </si>
  <si>
    <t xml:space="preserve">ANNUAL VERIFIED T12 REVENUE HIRED ($mm)</t>
  </si>
  <si>
    <t xml:space="preserve">Band A T12 hired</t>
  </si>
  <si>
    <t xml:space="preserve">Band B T12 hired</t>
  </si>
  <si>
    <t xml:space="preserve">Band C T12 hired</t>
  </si>
  <si>
    <t xml:space="preserve">TOTAL VERIFIED T12 HIRED ($mm)</t>
  </si>
  <si>
    <t xml:space="preserve">BILLED FEE REVENUE</t>
  </si>
  <si>
    <t xml:space="preserve">Band A fees @ 8%</t>
  </si>
  <si>
    <t xml:space="preserve">Band B fees @ 10%</t>
  </si>
  <si>
    <t xml:space="preserve">Band C fees @ 12–14%</t>
  </si>
  <si>
    <t xml:space="preserve">TOTAL BILLED REVENUE</t>
  </si>
  <si>
    <t xml:space="preserve">Average VYNE fee per placement</t>
  </si>
  <si>
    <t xml:space="preserve">Blended fee rate (% of T12)</t>
  </si>
  <si>
    <t xml:space="preserve">REVENUE BY LEAD SOURCE</t>
  </si>
  <si>
    <t xml:space="preserve">VYNE-generated (inbound)</t>
  </si>
  <si>
    <t xml:space="preserve">Recruiter-sourced</t>
  </si>
  <si>
    <t xml:space="preserve">Founder-led</t>
  </si>
  <si>
    <t xml:space="preserve">CASH COLLECTIONS</t>
  </si>
  <si>
    <t xml:space="preserve">Cash collections</t>
  </si>
  <si>
    <t xml:space="preserve">Recruiter Economics &amp; Commission Structure (Recommendation)</t>
  </si>
  <si>
    <t xml:space="preserve">UNIT ECONOMICS — MATURE RECRUITER (Year 3 basis)</t>
  </si>
  <si>
    <t xml:space="preserve">Placements per recruiter per year</t>
  </si>
  <si>
    <t xml:space="preserve">Fee revenue generated per recruiter</t>
  </si>
  <si>
    <t xml:space="preserve">Commission earned (recruiter-sourced blend)</t>
  </si>
  <si>
    <t xml:space="preserve">Base compensation (1099 - none; draw is recoverable)</t>
  </si>
  <si>
    <t xml:space="preserve">Recruiter total cash comp (all commission)</t>
  </si>
  <si>
    <t xml:space="preserve">Cost to VYNE (commission; draw recoverable)</t>
  </si>
  <si>
    <t xml:space="preserve">Net contribution per recruiter</t>
  </si>
  <si>
    <t xml:space="preserve">Contribution margin on recruiter revenue</t>
  </si>
  <si>
    <t xml:space="preserve">COMMISSION TIER RECOMMENDATION — pending Sensitivity validation</t>
  </si>
  <si>
    <t xml:space="preserve">Tier — Annual Verified T12 Revenue Hired</t>
  </si>
  <si>
    <t xml:space="preserve">Recruiter-sourced lead</t>
  </si>
  <si>
    <t xml:space="preserve">VYNE-generated lead</t>
  </si>
  <si>
    <t xml:space="preserve">Tier 1: first $10M T12 hired</t>
  </si>
  <si>
    <t xml:space="preserve">Applies from $0 each Commission Year</t>
  </si>
  <si>
    <t xml:space="preserve">Tier 2: $10M – $25M T12 hired</t>
  </si>
  <si>
    <t xml:space="preserve">Marginal rate on fees from T12 in this band</t>
  </si>
  <si>
    <t xml:space="preserve">Tier 3: above $25M T12 hired</t>
  </si>
  <si>
    <t xml:space="preserve">Marginal rate; rewards elite producers</t>
  </si>
  <si>
    <t xml:space="preserve">• Commission Year = January 1 – December 31. Tiers reset to $0 every January 1.</t>
  </si>
  <si>
    <t xml:space="preserve">• Percentages apply ONLY to the actual VYNE Strategies fee collected — never to advisor T12 revenue.</t>
  </si>
  <si>
    <t xml:space="preserve">• Tier credit is based on Annual Verified T12 Revenue Hired: T12 verified by the hiring firm for advisors whose official hire date falls in the Commission Year.</t>
  </si>
  <si>
    <t xml:space="preserve">• VYNE-generated leads pay ~15 points less: VYNE built the platform, brand, marketing, AI, and inbound engine.</t>
  </si>
  <si>
    <t xml:space="preserve">• Commissions are paid only when VYNE collects; subject to clawback if the hiring firm claws back the fee.</t>
  </si>
  <si>
    <t xml:space="preserve">• Recruiters are independent contractors (1099-NEC). No base salary; a recoverable draw ($4,000/mo, months 1-6) is available and recouped from commission runs. Contractors bear self-employment taxes and their own business expenses.</t>
  </si>
  <si>
    <t xml:space="preserve">• DO NOT finalize in agreements until the Sensitivity tab confirms affordability at target margins and counsel approves the Independent Recruiter Agreement.</t>
  </si>
  <si>
    <t xml:space="preserve">Hiring Plan &amp; Operating Expense Model</t>
  </si>
  <si>
    <t xml:space="preserve">HEADCOUNT</t>
  </si>
  <si>
    <t xml:space="preserve">Founder / CEO</t>
  </si>
  <si>
    <t xml:space="preserve">Recruiters (1099 contractors)</t>
  </si>
  <si>
    <t xml:space="preserve">Operations manager</t>
  </si>
  <si>
    <t xml:space="preserve">Total headcount</t>
  </si>
  <si>
    <t xml:space="preserve">BASE COMPENSATION (excl. commissions)</t>
  </si>
  <si>
    <t xml:space="preserve">Founder salary</t>
  </si>
  <si>
    <t xml:space="preserve">Recruiter draw provision (1099, unrecovered)</t>
  </si>
  <si>
    <t xml:space="preserve">Ops manager salary</t>
  </si>
  <si>
    <t xml:space="preserve">W-2 wages (founder + ops)</t>
  </si>
  <si>
    <t xml:space="preserve">People cost (W-2 loaded + 1099 draw provision)</t>
  </si>
  <si>
    <t xml:space="preserve">OPERATING EXPENSES</t>
  </si>
  <si>
    <t xml:space="preserve">Marketing budget</t>
  </si>
  <si>
    <t xml:space="preserve">Total operating expenses</t>
  </si>
  <si>
    <t xml:space="preserve">TOTAL FIXED COST BASE</t>
  </si>
  <si>
    <t xml:space="preserve">Payroll + opex (before commissions)</t>
  </si>
  <si>
    <t xml:space="preserve">One-Time Startup Budget (pre-launch / Month 0)</t>
  </si>
  <si>
    <t xml:space="preserve">Item</t>
  </si>
  <si>
    <t xml:space="preserve">Amount</t>
  </si>
  <si>
    <t xml:space="preserve">Entity formation, attorney review (OBA/non-solicit), contracts</t>
  </si>
  <si>
    <t xml:space="preserve">Gated on attorney sign-off</t>
  </si>
  <si>
    <t xml:space="preserve">Brand, website, domains (largely built)</t>
  </si>
  <si>
    <t xml:space="preserve">Equipment (computer, phone, peripherals)</t>
  </si>
  <si>
    <t xml:space="preserve">Personal devices only during stealth</t>
  </si>
  <si>
    <t xml:space="preserve">Insurance deposits (E&amp;O, general liability)</t>
  </si>
  <si>
    <t xml:space="preserve">Initial marketing &amp; content launch</t>
  </si>
  <si>
    <t xml:space="preserve">Working capital buffer</t>
  </si>
  <si>
    <t xml:space="preserve">TOTAL STARTUP COSTS</t>
  </si>
  <si>
    <t xml:space="preserve">Opening operating cash (Day 1)</t>
  </si>
  <si>
    <t xml:space="preserve">5-Year P&amp;L, Break-Even &amp; Margin Targets</t>
  </si>
  <si>
    <t xml:space="preserve">REVENUE</t>
  </si>
  <si>
    <t xml:space="preserve">Billed fee revenue</t>
  </si>
  <si>
    <t xml:space="preserve">COMMISSION EXPENSE (% of VYNE fee, by lead source)</t>
  </si>
  <si>
    <t xml:space="preserve">On VYNE-generated placements</t>
  </si>
  <si>
    <t xml:space="preserve">On recruiter-sourced placements</t>
  </si>
  <si>
    <t xml:space="preserve">Total commissions</t>
  </si>
  <si>
    <t xml:space="preserve">Blended commission (% of revenue)</t>
  </si>
  <si>
    <t xml:space="preserve">GROSS PROFIT</t>
  </si>
  <si>
    <t xml:space="preserve">Gross profit</t>
  </si>
  <si>
    <t xml:space="preserve">Gross margin</t>
  </si>
  <si>
    <t xml:space="preserve">OPERATING COSTS</t>
  </si>
  <si>
    <t xml:space="preserve">People cost (W-2 loaded + draw prov.)</t>
  </si>
  <si>
    <t xml:space="preserve">Operating expenses</t>
  </si>
  <si>
    <t xml:space="preserve">Total fixed costs</t>
  </si>
  <si>
    <t xml:space="preserve">PROFITABILITY</t>
  </si>
  <si>
    <t xml:space="preserve">EBITDA (pre-founder distributions)</t>
  </si>
  <si>
    <t xml:space="preserve">EBITDA margin</t>
  </si>
  <si>
    <t xml:space="preserve">BREAK-EVEN ANALYSIS</t>
  </si>
  <si>
    <t xml:space="preserve">Contribution per placement</t>
  </si>
  <si>
    <t xml:space="preserve">Break-even placements per year</t>
  </si>
  <si>
    <t xml:space="preserve">Actual placements</t>
  </si>
  <si>
    <t xml:space="preserve">Cushion (placements above break-even)</t>
  </si>
  <si>
    <t xml:space="preserve">Break-even revenue</t>
  </si>
  <si>
    <t xml:space="preserve">OPERATING MARGIN TARGETS</t>
  </si>
  <si>
    <t xml:space="preserve">Target EBITDA margin</t>
  </si>
  <si>
    <t xml:space="preserve">Target met?</t>
  </si>
  <si>
    <t xml:space="preserve">Cash Flow — Annual (5-Year) &amp; Monthly (Year 1)</t>
  </si>
  <si>
    <t xml:space="preserve">ANNUAL CASH FLOW</t>
  </si>
  <si>
    <t xml:space="preserve">Opening cash</t>
  </si>
  <si>
    <t xml:space="preserve">Commissions paid (on collected fees)</t>
  </si>
  <si>
    <t xml:space="preserve">Payroll &amp; operating costs</t>
  </si>
  <si>
    <t xml:space="preserve">Clawback reserve funded</t>
  </si>
  <si>
    <t xml:space="preserve">Prior-year clawback reserve released</t>
  </si>
  <si>
    <t xml:space="preserve">Net cash flow</t>
  </si>
  <si>
    <t xml:space="preserve">Ending cash (pre-distribution)</t>
  </si>
  <si>
    <t xml:space="preserve">Clawback reserve balance</t>
  </si>
  <si>
    <t xml:space="preserve">Cash reserve target (6 mo fixed costs)</t>
  </si>
  <si>
    <t xml:space="preserve">Cash above reserve target</t>
  </si>
  <si>
    <t xml:space="preserve">Note: founder distributions are modeled on the Founder &amp; Capital tab and are made only from cash above the reserve target.</t>
  </si>
  <si>
    <t xml:space="preserve">MONTHLY CASH FLOW — YEAR 1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</si>
  <si>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</si>
  <si>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</si>
  <si>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</si>
  <si>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</si>
  <si>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</si>
  <si>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</si>
  <si>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</si>
  <si>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</si>
  <si>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</si>
  <si>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</si>
  <si>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</si>
  <si>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</si>
  <si>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</si>
  <si>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Billing weight (% of Year 1)</t>
  </si>
  <si>
    <t xml:space="preserve">Billed revenue</t>
  </si>
  <si>
    <t xml:space="preserve">Collections (60-day lag)</t>
  </si>
  <si>
    <t xml:space="preserve">Commissions paid</t>
  </si>
  <si>
    <t xml:space="preserve">Payroll &amp; opex</t>
  </si>
  <si>
    <t xml:space="preserve">Ending cash</t>
  </si>
  <si>
    <t xml:space="preserve">PEAK CASH NEED (lowest monthly balance)</t>
  </si>
  <si>
    <t xml:space="preserve">Commission Sensitivity — Year 3 EBITDA Margin</t>
  </si>
  <si>
    <t xml:space="preserve">Rows: recruiter-sourced commission %  |  Columns: placement volume vs. plan (Year 3). VYNE-lead payout held at Assumptions value.</t>
  </si>
  <si>
    <t xml:space="preserve">Comm % \ Volume</t>
  </si>
  <si>
    <t xml:space="preserve">WHAT VYNE CAN AFFORD (Year 3)</t>
  </si>
  <si>
    <t xml:space="preserve">Max blended commission rate at 25% EBITDA margin</t>
  </si>
  <si>
    <t xml:space="preserve">Max blended commission rate at 30% EBITDA margin</t>
  </si>
  <si>
    <t xml:space="preserve">Modeled blended commission rate (Year 3)</t>
  </si>
  <si>
    <t xml:space="preserve">Headroom vs. 25% margin ceiling</t>
  </si>
  <si>
    <t xml:space="preserve">Read: if headroom is positive, the recommended tier structure on the Recruiters tab is affordable at target margin. If negative, reduce Tier rates or raise VYNE-lead mix before extending offers.</t>
  </si>
  <si>
    <t xml:space="preserve">Commission Plan Stress Test — Options A / B / C vs. Base Model (Year 3 basis)</t>
  </si>
  <si>
    <t xml:space="preserve">TIER SCHEDULES — marginal rates on Annual Verified T12 Revenue Hired; % of collected VYNE fee</t>
  </si>
  <si>
    <t xml:space="preserve">Tier</t>
  </si>
  <si>
    <t xml:space="preserve">A — Recruiter-gen</t>
  </si>
  <si>
    <t xml:space="preserve">A — VYNE-gen</t>
  </si>
  <si>
    <t xml:space="preserve">B — Recruiter-gen</t>
  </si>
  <si>
    <t xml:space="preserve">B — VYNE-gen</t>
  </si>
  <si>
    <t xml:space="preserve">C — Recruiter-gen</t>
  </si>
  <si>
    <t xml:space="preserve">C — VYNE-gen</t>
  </si>
  <si>
    <t xml:space="preserve">Tier 1: first $5M T12 hired</t>
  </si>
  <si>
    <t xml:space="preserve">Tier 2: $5M – $10M</t>
  </si>
  <si>
    <t xml:space="preserve">Tier 3: $10M – $20M</t>
  </si>
  <si>
    <t xml:space="preserve">Tier 4: above $20M</t>
  </si>
  <si>
    <t xml:space="preserve">Tier breakpoints ($mm)</t>
  </si>
  <si>
    <t xml:space="preserve">MATURE RECRUITER BOOK (Year 3, Expected productivity)</t>
  </si>
  <si>
    <t xml:space="preserve">Annual Verified T12 Revenue Hired per recruiter ($mm)</t>
  </si>
  <si>
    <t xml:space="preserve">VYNE fee generated per recruiter</t>
  </si>
  <si>
    <t xml:space="preserve">T12 in Tier 1 ($mm)</t>
  </si>
  <si>
    <t xml:space="preserve">T12 in Tier 2 ($mm)</t>
  </si>
  <si>
    <t xml:space="preserve">T12 in Tier 3 ($mm)</t>
  </si>
  <si>
    <t xml:space="preserve">T12 in Tier 4 ($mm)</t>
  </si>
  <si>
    <t xml:space="preserve">Blended payout rate at this book size</t>
  </si>
  <si>
    <t xml:space="preserve">HEAD-TO-HEAD — YEAR 3</t>
  </si>
  <si>
    <t xml:space="preserve">BASE MODEL</t>
  </si>
  <si>
    <t xml:space="preserve">OPTION A</t>
  </si>
  <si>
    <t xml:space="preserve">OPTION B</t>
  </si>
  <si>
    <t xml:space="preserve">OPTION C</t>
  </si>
  <si>
    <t xml:space="preserve">Blended payout — recruiter-sourced</t>
  </si>
  <si>
    <t xml:space="preserve">Blended payout — VYNE-generated</t>
  </si>
  <si>
    <t xml:space="preserve">Recruiter commission (own-sourced book)</t>
  </si>
  <si>
    <t xml:space="preserve">RECRUITER EARNINGS (all commission, 1099)</t>
  </si>
  <si>
    <t xml:space="preserve">VYNE net contribution per recruiter</t>
  </si>
  <si>
    <t xml:space="preserve">Revenue (Year 3, unchanged)</t>
  </si>
  <si>
    <t xml:space="preserve">Commission expense</t>
  </si>
  <si>
    <t xml:space="preserve">Firm blended commission (% of revenue)</t>
  </si>
  <si>
    <t xml:space="preserve">VYNE GROSS MARGIN</t>
  </si>
  <si>
    <t xml:space="preserve">Fixed costs (payroll + opex)</t>
  </si>
  <si>
    <t xml:space="preserve">OPERATING PROFIT (EBITDA)</t>
  </si>
  <si>
    <t xml:space="preserve">Operating margin</t>
  </si>
  <si>
    <t xml:space="preserve">Clawback + reserve funding (unchanged)</t>
  </si>
  <si>
    <t xml:space="preserve">Pre-distribution profit</t>
  </si>
  <si>
    <t xml:space="preserve">Reinvestment pool</t>
  </si>
  <si>
    <t xml:space="preserve">AI share of reinvestment pool</t>
  </si>
  <si>
    <t xml:space="preserve">Based on AI:marketing budget ratio; adjustable</t>
  </si>
  <si>
    <t xml:space="preserve">AI INVESTMENT CAPACITY</t>
  </si>
  <si>
    <t xml:space="preserve">MARKETING INVESTMENT CAPACITY</t>
  </si>
  <si>
    <t xml:space="preserve">OWNER INCOME (salary + distributions)</t>
  </si>
  <si>
    <t xml:space="preserve">BREAK-EVEN (placements/yr)</t>
  </si>
  <si>
    <t xml:space="preserve">Cumulative commissions Years 1–3</t>
  </si>
  <si>
    <t xml:space="preserve">CASH RESERVE IMPACT: Year-3 ending cash</t>
  </si>
  <si>
    <t xml:space="preserve">Cash above 6-month reserve target</t>
  </si>
  <si>
    <t xml:space="preserve">YEAR 5 SNAPSHOT</t>
  </si>
  <si>
    <t xml:space="preserve">Commission expense — Year 5</t>
  </si>
  <si>
    <t xml:space="preserve">EBITDA — Year 5</t>
  </si>
  <si>
    <t xml:space="preserve">Operating margin — Year 5</t>
  </si>
  <si>
    <t xml:space="preserve">Owner income — Year 5</t>
  </si>
  <si>
    <t xml:space="preserve">RISKS</t>
  </si>
  <si>
    <t xml:space="preserve">Pays top-of-market rates (55–70%) to every recruiter with no targeting. Only a 10-point gap between VYNE-generated and recruiter-generated leads — undervalues the platform, brand, AI, and inbound engine VYNE built, violating a founding compensation principle. Precedent risk: commission plans are easy to raise and brutal to cut. Clawback exposure amplified: at these payouts, a clawed-back fee on a large placement means recovering large sums from recruiters. Adverse selection: average producers receive elite pay.</t>
  </si>
  <si>
    <t xml:space="preserve">Standing rates below what elite producers at Diamond Consultants or Bridgemark Strategies would leave for; may lengthen recruiting cycles for proven books. Mitigate by pairing with Option C as a negotiated exception schedule. Modestly lower recruiter OTE increases turnover risk among strong (not elite) performers.</t>
  </si>
  <si>
    <t xml:space="preserve">At 60–75%, one clawback on a large placement is a serious cash event — require a commission holdback (e.g., pay 80% on collection, 20% after the 12-month retention period). Internal parity pressure: existing recruiters will demand C rates, so it must be gated on verified production history (e.g., $15M+ Annual Verified T12 Revenue Hired in a prior Commission Year, documented). Per-recruiter contribution margin compresses to the low-30s%; only accretive if the producer actually delivers the book.</t>
  </si>
  <si>
    <t xml:space="preserve">RECOMMENDATION</t>
  </si>
  <si>
    <t xml:space="preserve">Adopt OPTION B as the standing published plan — it protects gross margin, keeps recruiter OTE competitive, and preserves the VYNE-lead discount that reflects who built the engine. Hold OPTION C in reserve as a named-target "franchise producer" schedule for poaching proven books from Diamond Consultants / Bridgemark Strategies: offered only against verified prior production, with a 20% commission holdback through the clawback window, and never published. Decline OPTION A: it pays Option-C-level economics to the entire desk without Option C's targeting, and compresses the VYNE-lead discount to 10 points. All options remain profitable at the firm level (founder-led and VYNE-generated volume subsidize payouts), so the decision is about owner income, precedent, and clawback risk — not solvency. Do not finalize any schedule in offer letters until attorney review of employment/commission agreements is complete.</t>
  </si>
  <si>
    <t xml:space="preserve">VYNE Growth Engine — Reverse Funnel by Annual Verified T12 Revenue Hired Target</t>
  </si>
  <si>
    <t xml:space="preserve">Scenario follows the Assumptions tab switch. All conversion rates live on Assumptions (Growth Engine sections). Channel mix below is stage-specific (blue).</t>
  </si>
  <si>
    <t xml:space="preserve">GROWTH TARGETS</t>
  </si>
  <si>
    <t xml:space="preserve">Target Annual Verified T12 Revenue Hired ($mm)</t>
  </si>
  <si>
    <t xml:space="preserve">Avg verified T12 per hire ($mm)</t>
  </si>
  <si>
    <t xml:space="preserve">OFFICIAL HIRES REQUIRED</t>
  </si>
  <si>
    <t xml:space="preserve">Implied VYNE billed revenue</t>
  </si>
  <si>
    <t xml:space="preserve">Share of experienced advisor moves</t>
  </si>
  <si>
    <t xml:space="preserve">CHANNEL MIX — % OF HIRES (stage-specific inputs)</t>
  </si>
  <si>
    <t xml:space="preserve">Inbound share of hires</t>
  </si>
  <si>
    <t xml:space="preserve">Outbound share of hires</t>
  </si>
  <si>
    <t xml:space="preserve">Referral share of hires</t>
  </si>
  <si>
    <t xml:space="preserve">Conference share of hires</t>
  </si>
  <si>
    <t xml:space="preserve">Mix check (must equal 100%)</t>
  </si>
  <si>
    <t xml:space="preserve">INBOUND CHANNEL</t>
  </si>
  <si>
    <t xml:space="preserve">Official hires</t>
  </si>
  <si>
    <t xml:space="preserve">Offers required</t>
  </si>
  <si>
    <t xml:space="preserve">Qualified opportunities</t>
  </si>
  <si>
    <t xml:space="preserve">Firm introductions</t>
  </si>
  <si>
    <t xml:space="preserve">Discovery calls</t>
  </si>
  <si>
    <t xml:space="preserve">Leads</t>
  </si>
  <si>
    <t xml:space="preserve">Website visitors required (annual)</t>
  </si>
  <si>
    <t xml:space="preserve">Website visitors required (monthly)</t>
  </si>
  <si>
    <t xml:space="preserve">OUTBOUND CHANNEL</t>
  </si>
  <si>
    <t xml:space="preserve">Live conversations required</t>
  </si>
  <si>
    <t xml:space="preserve">Dials required (annual)</t>
  </si>
  <si>
    <t xml:space="preserve">Unique advisors contacted</t>
  </si>
  <si>
    <t xml:space="preserve">REFERRAL CHANNEL</t>
  </si>
  <si>
    <t xml:space="preserve">Active referral relationships required</t>
  </si>
  <si>
    <t xml:space="preserve">CONFERENCE CHANNEL</t>
  </si>
  <si>
    <t xml:space="preserve">Advisor conversations at events</t>
  </si>
  <si>
    <t xml:space="preserve">Conferences/events required per year</t>
  </si>
  <si>
    <t xml:space="preserve">TOTAL FUNNEL — ALL CHANNELS</t>
  </si>
  <si>
    <t xml:space="preserve">Total leads</t>
  </si>
  <si>
    <t xml:space="preserve">Total discovery calls</t>
  </si>
  <si>
    <t xml:space="preserve">Total qualified opportunities</t>
  </si>
  <si>
    <t xml:space="preserve">Total firm introductions</t>
  </si>
  <si>
    <t xml:space="preserve">Total offers</t>
  </si>
  <si>
    <t xml:space="preserve">Total official hires (check)</t>
  </si>
  <si>
    <t xml:space="preserve">RECRUITER HEADCOUNT REQUIRED</t>
  </si>
  <si>
    <t xml:space="preserve">Outbound hires per recruiter per year</t>
  </si>
  <si>
    <t xml:space="preserve">Recruiters needed — outbound sourcing</t>
  </si>
  <si>
    <t xml:space="preserve">Recruiters needed — desk capacity</t>
  </si>
  <si>
    <t xml:space="preserve">RECRUITERS REQUIRED</t>
  </si>
  <si>
    <t xml:space="preserve">Ops managers required</t>
  </si>
  <si>
    <t xml:space="preserve">Total team (incl. founder)</t>
  </si>
  <si>
    <t xml:space="preserve">Note: this Growth Engine uses a more granular stage taxonomy (lead → discovery → qualified → offer → hire) than the annual operating funnel on the Funnels tab; blended lead-to-hire rates reconcile to within ~2 points by channel.</t>
  </si>
  <si>
    <t xml:space="preserve">Founder Economics &amp; Capital Allocation Plan</t>
  </si>
  <si>
    <t xml:space="preserve">CAPITAL ALLOCATION WATERFALL (priority order)</t>
  </si>
  <si>
    <t xml:space="preserve">EBITDA</t>
  </si>
  <si>
    <t xml:space="preserve">1) Clawback reserve funding (net)</t>
  </si>
  <si>
    <t xml:space="preserve">2) Cash reserve build (to 6-month target)</t>
  </si>
  <si>
    <t xml:space="preserve">3) Reinvestment (AI, marketing, data)</t>
  </si>
  <si>
    <t xml:space="preserve">4) Founder distributions</t>
  </si>
  <si>
    <t xml:space="preserve">FOUNDER ECONOMICS — Mike Davies, Founder &amp; CEO</t>
  </si>
  <si>
    <t xml:space="preserve">Total founder cash compensation</t>
  </si>
  <si>
    <t xml:space="preserve">Cumulative founder cash</t>
  </si>
  <si>
    <t xml:space="preserve">Founder cash comp / capital contributed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</si>
</sst>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$#,##0.00"/>
    <numFmt numFmtId="167" formatCode="0.0%"/>
    <numFmt numFmtId="168" formatCode="0.00%"/>
    <numFmt numFmtId="169" formatCode="#,##0.0;\(#,##0.0\);\-"/>
    <numFmt numFmtId="170" formatCode="\$#,##0;&quot;($&quot;#,##0\);\-"/>
    <numFmt numFmtId="171" formatCode="\$#,##0.0"/>
    <numFmt numFmtId="172" formatCode="0%"/>
    <numFmt numFmtId="173" formatCode="\$#,##0"/>
    <numFmt numFmtId="174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4F3D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34F3D"/>
        <bgColor rgb="FF333300"/>
      </patternFill>
    </fill>
    <fill>
      <patternFill patternType="solid">
        <fgColor rgb="FFE8EFE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F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4F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4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3" t="s">
        <v>27</v>
      </c>
      <c r="D3" s="4" t="n">
        <v>2</v>
      </c>
      <c r="E3" s="3" t="str">
        <f aca="false">CHOOSE($D$3,"Conservative","Expected","Aggressive")</f>
        <v>Expected</v>
      </c>
    </row>
    <row r="5" customFormat="false" ht="15" hidden="false" customHeight="false" outlineLevel="0" collapsed="false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</row>
    <row r="6" customFormat="false" ht="15" hidden="false" customHeight="false" outlineLevel="0" collapsed="false">
      <c r="A6" s="6" t="s">
        <v>34</v>
      </c>
      <c r="B6" s="7"/>
      <c r="C6" s="7"/>
      <c r="D6" s="7"/>
      <c r="E6" s="7"/>
      <c r="F6" s="7"/>
    </row>
    <row r="7" customFormat="false" ht="15" hidden="false" customHeight="false" outlineLevel="0" collapsed="false">
      <c r="A7" s="2" t="s">
        <v>35</v>
      </c>
      <c r="B7" s="8" t="n">
        <v>8000</v>
      </c>
      <c r="C7" s="8" t="n">
        <v>9500</v>
      </c>
      <c r="D7" s="8" t="n">
        <v>11000</v>
      </c>
      <c r="E7" s="9" t="n">
        <f aca="false">CHOOSE($D$3,B7,C7,D7)</f>
        <v>9500</v>
      </c>
      <c r="F7" s="2" t="s">
        <v>36</v>
      </c>
    </row>
    <row r="8" customFormat="false" ht="15" hidden="false" customHeight="false" outlineLevel="0" collapsed="false">
      <c r="A8" s="2" t="s">
        <v>37</v>
      </c>
      <c r="B8" s="10" t="n">
        <v>1.2</v>
      </c>
      <c r="C8" s="10" t="n">
        <v>1.4</v>
      </c>
      <c r="D8" s="10" t="n">
        <v>1.6</v>
      </c>
      <c r="E8" s="11" t="n">
        <f aca="false">CHOOSE($D$3,B8,C8,D8)</f>
        <v>1.4</v>
      </c>
      <c r="F8" s="2" t="s">
        <v>38</v>
      </c>
    </row>
    <row r="9" customFormat="false" ht="15" hidden="false" customHeight="false" outlineLevel="0" collapsed="false">
      <c r="A9" s="2" t="s">
        <v>39</v>
      </c>
      <c r="B9" s="12" t="n">
        <v>0.08</v>
      </c>
      <c r="C9" s="12" t="n">
        <v>0.085</v>
      </c>
      <c r="D9" s="12" t="n">
        <v>0.09</v>
      </c>
      <c r="E9" s="13" t="n">
        <f aca="false">CHOOSE($D$3,B9,C9,D9)</f>
        <v>0.085</v>
      </c>
    </row>
    <row r="10" customFormat="false" ht="15" hidden="false" customHeight="false" outlineLevel="0" collapsed="false">
      <c r="A10" s="2" t="s">
        <v>40</v>
      </c>
      <c r="B10" s="12" t="n">
        <v>0.4</v>
      </c>
      <c r="C10" s="12" t="n">
        <v>0.45</v>
      </c>
      <c r="D10" s="12" t="n">
        <v>0.5</v>
      </c>
      <c r="E10" s="13" t="n">
        <f aca="false">CHOOSE($D$3,B10,C10,D10)</f>
        <v>0.45</v>
      </c>
      <c r="F10" s="2" t="s">
        <v>41</v>
      </c>
    </row>
    <row r="11" customFormat="false" ht="15" hidden="false" customHeight="false" outlineLevel="0" collapsed="false">
      <c r="A11" s="6" t="s">
        <v>42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2" t="s">
        <v>43</v>
      </c>
      <c r="B12" s="12" t="n">
        <v>0.08</v>
      </c>
      <c r="C12" s="12" t="n">
        <v>0.08</v>
      </c>
      <c r="D12" s="12" t="n">
        <v>0.08</v>
      </c>
      <c r="E12" s="13" t="n">
        <f aca="false">CHOOSE($D$3,B12,C12,D12)</f>
        <v>0.08</v>
      </c>
      <c r="F12" s="2" t="s">
        <v>44</v>
      </c>
    </row>
    <row r="13" customFormat="false" ht="15" hidden="false" customHeight="false" outlineLevel="0" collapsed="false">
      <c r="A13" s="2" t="s">
        <v>45</v>
      </c>
      <c r="B13" s="12" t="n">
        <v>0.1</v>
      </c>
      <c r="C13" s="12" t="n">
        <v>0.1</v>
      </c>
      <c r="D13" s="12" t="n">
        <v>0.1</v>
      </c>
      <c r="E13" s="13" t="n">
        <f aca="false">CHOOSE($D$3,B13,C13,D13)</f>
        <v>0.1</v>
      </c>
    </row>
    <row r="14" customFormat="false" ht="15" hidden="false" customHeight="false" outlineLevel="0" collapsed="false">
      <c r="A14" s="2" t="s">
        <v>46</v>
      </c>
      <c r="B14" s="12" t="n">
        <v>0.12</v>
      </c>
      <c r="C14" s="12" t="n">
        <v>0.12</v>
      </c>
      <c r="D14" s="12" t="n">
        <v>0.13</v>
      </c>
      <c r="E14" s="13" t="n">
        <f aca="false">CHOOSE($D$3,B14,C14,D14)</f>
        <v>0.12</v>
      </c>
      <c r="F14" s="2" t="s">
        <v>47</v>
      </c>
    </row>
    <row r="15" customFormat="false" ht="15" hidden="false" customHeight="false" outlineLevel="0" collapsed="false">
      <c r="A15" s="2" t="s">
        <v>48</v>
      </c>
      <c r="B15" s="10" t="n">
        <v>1</v>
      </c>
      <c r="C15" s="10" t="n">
        <v>1.2</v>
      </c>
      <c r="D15" s="10" t="n">
        <v>1.4</v>
      </c>
      <c r="E15" s="11" t="n">
        <f aca="false">CHOOSE($D$3,B15,C15,D15)</f>
        <v>1.2</v>
      </c>
    </row>
    <row r="16" customFormat="false" ht="15" hidden="false" customHeight="false" outlineLevel="0" collapsed="false">
      <c r="A16" s="2" t="s">
        <v>49</v>
      </c>
      <c r="B16" s="10" t="n">
        <v>6</v>
      </c>
      <c r="C16" s="10" t="n">
        <v>6.5</v>
      </c>
      <c r="D16" s="10" t="n">
        <v>7</v>
      </c>
      <c r="E16" s="11" t="n">
        <f aca="false">CHOOSE($D$3,B16,C16,D16)</f>
        <v>6.5</v>
      </c>
    </row>
    <row r="17" customFormat="false" ht="15" hidden="false" customHeight="false" outlineLevel="0" collapsed="false">
      <c r="A17" s="2" t="s">
        <v>50</v>
      </c>
      <c r="B17" s="10" t="n">
        <v>12</v>
      </c>
      <c r="C17" s="10" t="n">
        <v>14</v>
      </c>
      <c r="D17" s="10" t="n">
        <v>16</v>
      </c>
      <c r="E17" s="11" t="n">
        <f aca="false">CHOOSE($D$3,B17,C17,D17)</f>
        <v>14</v>
      </c>
    </row>
    <row r="18" customFormat="false" ht="15" hidden="false" customHeight="false" outlineLevel="0" collapsed="false">
      <c r="A18" s="2" t="s">
        <v>51</v>
      </c>
      <c r="B18" s="12" t="n">
        <v>0.92</v>
      </c>
      <c r="C18" s="12" t="n">
        <v>0.9</v>
      </c>
      <c r="D18" s="12" t="n">
        <v>0.88</v>
      </c>
      <c r="E18" s="13" t="n">
        <f aca="false">CHOOSE($D$3,B18,C18,D18)</f>
        <v>0.9</v>
      </c>
      <c r="F18" s="2" t="s">
        <v>52</v>
      </c>
    </row>
    <row r="19" customFormat="false" ht="15" hidden="false" customHeight="false" outlineLevel="0" collapsed="false">
      <c r="A19" s="2" t="s">
        <v>53</v>
      </c>
      <c r="B19" s="12" t="n">
        <v>0.06</v>
      </c>
      <c r="C19" s="12" t="n">
        <v>0.08</v>
      </c>
      <c r="D19" s="12" t="n">
        <v>0.09</v>
      </c>
      <c r="E19" s="13" t="n">
        <f aca="false">CHOOSE($D$3,B19,C19,D19)</f>
        <v>0.08</v>
      </c>
    </row>
    <row r="20" customFormat="false" ht="15" hidden="false" customHeight="false" outlineLevel="0" collapsed="false">
      <c r="A20" s="2" t="s">
        <v>54</v>
      </c>
      <c r="B20" s="12" t="n">
        <v>0.02</v>
      </c>
      <c r="C20" s="12" t="n">
        <v>0.02</v>
      </c>
      <c r="D20" s="12" t="n">
        <v>0.03</v>
      </c>
      <c r="E20" s="13" t="n">
        <f aca="false">CHOOSE($D$3,B20,C20,D20)</f>
        <v>0.02</v>
      </c>
    </row>
    <row r="21" customFormat="false" ht="15" hidden="false" customHeight="false" outlineLevel="0" collapsed="false">
      <c r="A21" s="6" t="s">
        <v>55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A22" s="2" t="s">
        <v>56</v>
      </c>
      <c r="B22" s="8" t="n">
        <v>300</v>
      </c>
      <c r="C22" s="8" t="n">
        <v>500</v>
      </c>
      <c r="D22" s="8" t="n">
        <v>800</v>
      </c>
      <c r="E22" s="9" t="n">
        <f aca="false">CHOOSE($D$3,B22,C22,D22)</f>
        <v>500</v>
      </c>
      <c r="F22" s="2" t="s">
        <v>57</v>
      </c>
    </row>
    <row r="23" customFormat="false" ht="15" hidden="false" customHeight="false" outlineLevel="0" collapsed="false">
      <c r="A23" s="2" t="s">
        <v>58</v>
      </c>
      <c r="B23" s="8" t="n">
        <v>900</v>
      </c>
      <c r="C23" s="8" t="n">
        <v>1500</v>
      </c>
      <c r="D23" s="8" t="n">
        <v>2400</v>
      </c>
      <c r="E23" s="9" t="n">
        <f aca="false">CHOOSE($D$3,B23,C23,D23)</f>
        <v>1500</v>
      </c>
      <c r="F23" s="2" t="s">
        <v>57</v>
      </c>
    </row>
    <row r="24" customFormat="false" ht="15" hidden="false" customHeight="false" outlineLevel="0" collapsed="false">
      <c r="A24" s="2" t="s">
        <v>59</v>
      </c>
      <c r="B24" s="8" t="n">
        <v>1800</v>
      </c>
      <c r="C24" s="8" t="n">
        <v>3000</v>
      </c>
      <c r="D24" s="8" t="n">
        <v>4800</v>
      </c>
      <c r="E24" s="9" t="n">
        <f aca="false">CHOOSE($D$3,B24,C24,D24)</f>
        <v>3000</v>
      </c>
      <c r="F24" s="2" t="s">
        <v>57</v>
      </c>
    </row>
    <row r="25" customFormat="false" ht="15" hidden="false" customHeight="false" outlineLevel="0" collapsed="false">
      <c r="A25" s="2" t="s">
        <v>60</v>
      </c>
      <c r="B25" s="8" t="n">
        <v>3000</v>
      </c>
      <c r="C25" s="8" t="n">
        <v>5000</v>
      </c>
      <c r="D25" s="8" t="n">
        <v>8000</v>
      </c>
      <c r="E25" s="9" t="n">
        <f aca="false">CHOOSE($D$3,B25,C25,D25)</f>
        <v>5000</v>
      </c>
      <c r="F25" s="2" t="s">
        <v>57</v>
      </c>
    </row>
    <row r="26" customFormat="false" ht="15" hidden="false" customHeight="false" outlineLevel="0" collapsed="false">
      <c r="A26" s="2" t="s">
        <v>61</v>
      </c>
      <c r="B26" s="8" t="n">
        <v>4200</v>
      </c>
      <c r="C26" s="8" t="n">
        <v>7000</v>
      </c>
      <c r="D26" s="8" t="n">
        <v>11000</v>
      </c>
      <c r="E26" s="9" t="n">
        <f aca="false">CHOOSE($D$3,B26,C26,D26)</f>
        <v>7000</v>
      </c>
      <c r="F26" s="2" t="s">
        <v>57</v>
      </c>
    </row>
    <row r="27" customFormat="false" ht="15" hidden="false" customHeight="false" outlineLevel="0" collapsed="false">
      <c r="A27" s="2" t="s">
        <v>62</v>
      </c>
      <c r="B27" s="14" t="n">
        <v>0.007</v>
      </c>
      <c r="C27" s="14" t="n">
        <v>0.01</v>
      </c>
      <c r="D27" s="14" t="n">
        <v>0.014</v>
      </c>
      <c r="E27" s="15" t="n">
        <f aca="false">CHOOSE($D$3,B27,C27,D27)</f>
        <v>0.01</v>
      </c>
    </row>
    <row r="28" customFormat="false" ht="15" hidden="false" customHeight="false" outlineLevel="0" collapsed="false">
      <c r="A28" s="2" t="s">
        <v>63</v>
      </c>
      <c r="B28" s="12" t="n">
        <v>0.25</v>
      </c>
      <c r="C28" s="12" t="n">
        <v>0.3</v>
      </c>
      <c r="D28" s="12" t="n">
        <v>0.35</v>
      </c>
      <c r="E28" s="13" t="n">
        <f aca="false">CHOOSE($D$3,B28,C28,D28)</f>
        <v>0.3</v>
      </c>
    </row>
    <row r="29" customFormat="false" ht="15" hidden="false" customHeight="false" outlineLevel="0" collapsed="false">
      <c r="A29" s="2" t="s">
        <v>64</v>
      </c>
      <c r="B29" s="12" t="n">
        <v>0.25</v>
      </c>
      <c r="C29" s="12" t="n">
        <v>0.3</v>
      </c>
      <c r="D29" s="12" t="n">
        <v>0.35</v>
      </c>
      <c r="E29" s="13" t="n">
        <f aca="false">CHOOSE($D$3,B29,C29,D29)</f>
        <v>0.3</v>
      </c>
    </row>
    <row r="30" customFormat="false" ht="15" hidden="false" customHeight="false" outlineLevel="0" collapsed="false">
      <c r="A30" s="2" t="s">
        <v>65</v>
      </c>
      <c r="B30" s="12" t="n">
        <v>0.35</v>
      </c>
      <c r="C30" s="12" t="n">
        <v>0.4</v>
      </c>
      <c r="D30" s="12" t="n">
        <v>0.45</v>
      </c>
      <c r="E30" s="13" t="n">
        <f aca="false">CHOOSE($D$3,B30,C30,D30)</f>
        <v>0.4</v>
      </c>
    </row>
    <row r="31" customFormat="false" ht="15" hidden="false" customHeight="false" outlineLevel="0" collapsed="false">
      <c r="A31" s="6" t="s">
        <v>66</v>
      </c>
      <c r="B31" s="7"/>
      <c r="C31" s="7"/>
      <c r="D31" s="7"/>
      <c r="E31" s="7"/>
      <c r="F31" s="7"/>
    </row>
    <row r="32" customFormat="false" ht="15" hidden="false" customHeight="false" outlineLevel="0" collapsed="false">
      <c r="A32" s="2" t="s">
        <v>67</v>
      </c>
      <c r="B32" s="8" t="n">
        <v>60</v>
      </c>
      <c r="C32" s="8" t="n">
        <v>60</v>
      </c>
      <c r="D32" s="8" t="n">
        <v>60</v>
      </c>
      <c r="E32" s="9" t="n">
        <f aca="false">CHOOSE($D$3,B32,C32,D32)</f>
        <v>60</v>
      </c>
    </row>
    <row r="33" customFormat="false" ht="15" hidden="false" customHeight="false" outlineLevel="0" collapsed="false">
      <c r="A33" s="2" t="s">
        <v>68</v>
      </c>
      <c r="B33" s="8" t="n">
        <v>230</v>
      </c>
      <c r="C33" s="8" t="n">
        <v>230</v>
      </c>
      <c r="D33" s="8" t="n">
        <v>230</v>
      </c>
      <c r="E33" s="9" t="n">
        <f aca="false">CHOOSE($D$3,B33,C33,D33)</f>
        <v>230</v>
      </c>
    </row>
    <row r="34" customFormat="false" ht="15" hidden="false" customHeight="false" outlineLevel="0" collapsed="false">
      <c r="A34" s="2" t="s">
        <v>69</v>
      </c>
      <c r="B34" s="12" t="n">
        <v>0.06</v>
      </c>
      <c r="C34" s="12" t="n">
        <v>0.08</v>
      </c>
      <c r="D34" s="12" t="n">
        <v>0.09</v>
      </c>
      <c r="E34" s="13" t="n">
        <f aca="false">CHOOSE($D$3,B34,C34,D34)</f>
        <v>0.08</v>
      </c>
    </row>
    <row r="35" customFormat="false" ht="15" hidden="false" customHeight="false" outlineLevel="0" collapsed="false">
      <c r="A35" s="2" t="s">
        <v>70</v>
      </c>
      <c r="B35" s="14" t="n">
        <v>0.05</v>
      </c>
      <c r="C35" s="14" t="n">
        <v>0.06</v>
      </c>
      <c r="D35" s="14" t="n">
        <v>0.065</v>
      </c>
      <c r="E35" s="15" t="n">
        <f aca="false">CHOOSE($D$3,B35,C35,D35)</f>
        <v>0.06</v>
      </c>
    </row>
    <row r="36" customFormat="false" ht="15" hidden="false" customHeight="false" outlineLevel="0" collapsed="false">
      <c r="A36" s="2" t="s">
        <v>71</v>
      </c>
      <c r="B36" s="12" t="n">
        <v>0.2</v>
      </c>
      <c r="C36" s="12" t="n">
        <v>0.25</v>
      </c>
      <c r="D36" s="12" t="n">
        <v>0.28</v>
      </c>
      <c r="E36" s="13" t="n">
        <f aca="false">CHOOSE($D$3,B36,C36,D36)</f>
        <v>0.25</v>
      </c>
    </row>
    <row r="37" customFormat="false" ht="15" hidden="false" customHeight="false" outlineLevel="0" collapsed="false">
      <c r="A37" s="2" t="s">
        <v>72</v>
      </c>
      <c r="B37" s="12" t="n">
        <v>0.3</v>
      </c>
      <c r="C37" s="12" t="n">
        <v>0.35</v>
      </c>
      <c r="D37" s="12" t="n">
        <v>0.38</v>
      </c>
      <c r="E37" s="13" t="n">
        <f aca="false">CHOOSE($D$3,B37,C37,D37)</f>
        <v>0.35</v>
      </c>
    </row>
    <row r="38" customFormat="false" ht="15" hidden="false" customHeight="false" outlineLevel="0" collapsed="false">
      <c r="A38" s="2" t="s">
        <v>73</v>
      </c>
      <c r="B38" s="12" t="n">
        <v>0.5</v>
      </c>
      <c r="C38" s="12" t="n">
        <v>0.5</v>
      </c>
      <c r="D38" s="12" t="n">
        <v>0.5</v>
      </c>
      <c r="E38" s="13" t="n">
        <f aca="false">CHOOSE($D$3,B38,C38,D38)</f>
        <v>0.5</v>
      </c>
    </row>
    <row r="39" customFormat="false" ht="15" hidden="false" customHeight="false" outlineLevel="0" collapsed="false">
      <c r="A39" s="6" t="s">
        <v>74</v>
      </c>
      <c r="B39" s="7"/>
      <c r="C39" s="7"/>
      <c r="D39" s="7"/>
      <c r="E39" s="7"/>
      <c r="F39" s="7"/>
    </row>
    <row r="40" customFormat="false" ht="15" hidden="false" customHeight="false" outlineLevel="0" collapsed="false">
      <c r="A40" s="2" t="s">
        <v>75</v>
      </c>
      <c r="B40" s="8" t="n">
        <v>1</v>
      </c>
      <c r="C40" s="8" t="n">
        <v>1</v>
      </c>
      <c r="D40" s="8" t="n">
        <v>2</v>
      </c>
      <c r="E40" s="9" t="n">
        <f aca="false">CHOOSE($D$3,B40,C40,D40)</f>
        <v>1</v>
      </c>
    </row>
    <row r="41" customFormat="false" ht="15" hidden="false" customHeight="false" outlineLevel="0" collapsed="false">
      <c r="A41" s="2" t="s">
        <v>76</v>
      </c>
      <c r="B41" s="8" t="n">
        <v>1</v>
      </c>
      <c r="C41" s="8" t="n">
        <v>2</v>
      </c>
      <c r="D41" s="8" t="n">
        <v>4</v>
      </c>
      <c r="E41" s="9" t="n">
        <f aca="false">CHOOSE($D$3,B41,C41,D41)</f>
        <v>2</v>
      </c>
    </row>
    <row r="42" customFormat="false" ht="15" hidden="false" customHeight="false" outlineLevel="0" collapsed="false">
      <c r="A42" s="2" t="s">
        <v>77</v>
      </c>
      <c r="B42" s="8" t="n">
        <v>2</v>
      </c>
      <c r="C42" s="8" t="n">
        <v>4</v>
      </c>
      <c r="D42" s="8" t="n">
        <v>6</v>
      </c>
      <c r="E42" s="9" t="n">
        <f aca="false">CHOOSE($D$3,B42,C42,D42)</f>
        <v>4</v>
      </c>
    </row>
    <row r="43" customFormat="false" ht="15" hidden="false" customHeight="false" outlineLevel="0" collapsed="false">
      <c r="A43" s="2" t="s">
        <v>78</v>
      </c>
      <c r="B43" s="8" t="n">
        <v>3</v>
      </c>
      <c r="C43" s="8" t="n">
        <v>6</v>
      </c>
      <c r="D43" s="8" t="n">
        <v>8</v>
      </c>
      <c r="E43" s="9" t="n">
        <f aca="false">CHOOSE($D$3,B43,C43,D43)</f>
        <v>6</v>
      </c>
    </row>
    <row r="44" customFormat="false" ht="15" hidden="false" customHeight="false" outlineLevel="0" collapsed="false">
      <c r="A44" s="2" t="s">
        <v>79</v>
      </c>
      <c r="B44" s="16" t="n">
        <v>3</v>
      </c>
      <c r="C44" s="16" t="n">
        <v>4</v>
      </c>
      <c r="D44" s="16" t="n">
        <v>5</v>
      </c>
      <c r="E44" s="17" t="n">
        <f aca="false">CHOOSE($D$3,B44,C44,D44)</f>
        <v>4</v>
      </c>
    </row>
    <row r="45" customFormat="false" ht="15" hidden="false" customHeight="false" outlineLevel="0" collapsed="false">
      <c r="A45" s="2" t="s">
        <v>80</v>
      </c>
      <c r="B45" s="16" t="n">
        <v>4</v>
      </c>
      <c r="C45" s="16" t="n">
        <v>5</v>
      </c>
      <c r="D45" s="16" t="n">
        <v>6</v>
      </c>
      <c r="E45" s="17" t="n">
        <f aca="false">CHOOSE($D$3,B45,C45,D45)</f>
        <v>5</v>
      </c>
    </row>
    <row r="46" customFormat="false" ht="15" hidden="false" customHeight="false" outlineLevel="0" collapsed="false">
      <c r="A46" s="2" t="s">
        <v>81</v>
      </c>
      <c r="B46" s="16" t="n">
        <v>4</v>
      </c>
      <c r="C46" s="16" t="n">
        <v>6</v>
      </c>
      <c r="D46" s="16" t="n">
        <v>7</v>
      </c>
      <c r="E46" s="17" t="n">
        <f aca="false">CHOOSE($D$3,B46,C46,D46)</f>
        <v>6</v>
      </c>
    </row>
    <row r="47" customFormat="false" ht="15" hidden="false" customHeight="false" outlineLevel="0" collapsed="false">
      <c r="A47" s="2" t="s">
        <v>82</v>
      </c>
      <c r="B47" s="16" t="n">
        <v>4</v>
      </c>
      <c r="C47" s="16" t="n">
        <v>6</v>
      </c>
      <c r="D47" s="16" t="n">
        <v>7</v>
      </c>
      <c r="E47" s="17" t="n">
        <f aca="false">CHOOSE($D$3,B47,C47,D47)</f>
        <v>6</v>
      </c>
    </row>
    <row r="48" customFormat="false" ht="15" hidden="false" customHeight="false" outlineLevel="0" collapsed="false">
      <c r="A48" s="2" t="s">
        <v>83</v>
      </c>
      <c r="B48" s="16" t="n">
        <v>4</v>
      </c>
      <c r="C48" s="16" t="n">
        <v>6</v>
      </c>
      <c r="D48" s="16" t="n">
        <v>7</v>
      </c>
      <c r="E48" s="17" t="n">
        <f aca="false">CHOOSE($D$3,B48,C48,D48)</f>
        <v>6</v>
      </c>
    </row>
    <row r="49" customFormat="false" ht="15" hidden="false" customHeight="false" outlineLevel="0" collapsed="false">
      <c r="A49" s="2" t="s">
        <v>84</v>
      </c>
      <c r="B49" s="18" t="n">
        <v>84000</v>
      </c>
      <c r="C49" s="18" t="n">
        <v>96000</v>
      </c>
      <c r="D49" s="18" t="n">
        <v>120000</v>
      </c>
      <c r="E49" s="19" t="n">
        <f aca="false">CHOOSE($D$3,B49,C49,D49)</f>
        <v>96000</v>
      </c>
    </row>
    <row r="50" customFormat="false" ht="15" hidden="false" customHeight="false" outlineLevel="0" collapsed="false">
      <c r="A50" s="2" t="s">
        <v>85</v>
      </c>
      <c r="B50" s="12" t="n">
        <v>0.1</v>
      </c>
      <c r="C50" s="12" t="n">
        <v>0.1</v>
      </c>
      <c r="D50" s="12" t="n">
        <v>0.1</v>
      </c>
      <c r="E50" s="13" t="n">
        <f aca="false">CHOOSE($D$3,B50,C50,D50)</f>
        <v>0.1</v>
      </c>
    </row>
    <row r="51" customFormat="false" ht="15" hidden="false" customHeight="false" outlineLevel="0" collapsed="false">
      <c r="A51" s="2" t="s">
        <v>86</v>
      </c>
      <c r="B51" s="18" t="n">
        <v>4000</v>
      </c>
      <c r="C51" s="18" t="n">
        <v>4000</v>
      </c>
      <c r="D51" s="18" t="n">
        <v>5000</v>
      </c>
      <c r="E51" s="19" t="n">
        <f aca="false">CHOOSE($D$3,B51,C51,D51)</f>
        <v>4000</v>
      </c>
      <c r="F51" s="2" t="s">
        <v>87</v>
      </c>
    </row>
    <row r="52" customFormat="false" ht="15" hidden="false" customHeight="false" outlineLevel="0" collapsed="false">
      <c r="A52" s="2" t="s">
        <v>88</v>
      </c>
      <c r="B52" s="18" t="n">
        <v>18000</v>
      </c>
      <c r="C52" s="18" t="n">
        <v>12000</v>
      </c>
      <c r="D52" s="18" t="n">
        <v>8000</v>
      </c>
      <c r="E52" s="19" t="n">
        <f aca="false">CHOOSE($D$3,B52,C52,D52)</f>
        <v>12000</v>
      </c>
      <c r="F52" s="2" t="s">
        <v>89</v>
      </c>
    </row>
    <row r="53" customFormat="false" ht="15" hidden="false" customHeight="false" outlineLevel="0" collapsed="false">
      <c r="A53" s="2" t="s">
        <v>90</v>
      </c>
      <c r="B53" s="8" t="n">
        <v>4</v>
      </c>
      <c r="C53" s="8" t="n">
        <v>3</v>
      </c>
      <c r="D53" s="8" t="n">
        <v>3</v>
      </c>
      <c r="E53" s="9" t="n">
        <f aca="false">CHOOSE($D$3,B53,C53,D53)</f>
        <v>3</v>
      </c>
    </row>
    <row r="54" customFormat="false" ht="15" hidden="false" customHeight="false" outlineLevel="0" collapsed="false">
      <c r="A54" s="2" t="s">
        <v>91</v>
      </c>
      <c r="B54" s="18" t="n">
        <v>70000</v>
      </c>
      <c r="C54" s="18" t="n">
        <v>75000</v>
      </c>
      <c r="D54" s="18" t="n">
        <v>80000</v>
      </c>
      <c r="E54" s="19" t="n">
        <f aca="false">CHOOSE($D$3,B54,C54,D54)</f>
        <v>75000</v>
      </c>
    </row>
    <row r="55" customFormat="false" ht="15" hidden="false" customHeight="false" outlineLevel="0" collapsed="false">
      <c r="A55" s="2" t="s">
        <v>92</v>
      </c>
      <c r="B55" s="12" t="n">
        <v>0.15</v>
      </c>
      <c r="C55" s="12" t="n">
        <v>0.15</v>
      </c>
      <c r="D55" s="12" t="n">
        <v>0.15</v>
      </c>
      <c r="E55" s="13" t="n">
        <f aca="false">CHOOSE($D$3,B55,C55,D55)</f>
        <v>0.15</v>
      </c>
    </row>
    <row r="56" customFormat="false" ht="15" hidden="false" customHeight="false" outlineLevel="0" collapsed="false">
      <c r="A56" s="6" t="s">
        <v>93</v>
      </c>
      <c r="B56" s="7"/>
      <c r="C56" s="7"/>
      <c r="D56" s="7"/>
      <c r="E56" s="7"/>
      <c r="F56" s="7"/>
    </row>
    <row r="57" customFormat="false" ht="15" hidden="false" customHeight="false" outlineLevel="0" collapsed="false">
      <c r="A57" s="2" t="s">
        <v>94</v>
      </c>
      <c r="B57" s="12" t="n">
        <v>0.45</v>
      </c>
      <c r="C57" s="12" t="n">
        <v>0.42</v>
      </c>
      <c r="D57" s="12" t="n">
        <v>0.4</v>
      </c>
      <c r="E57" s="13" t="n">
        <f aca="false">CHOOSE($D$3,B57,C57,D57)</f>
        <v>0.42</v>
      </c>
      <c r="F57" s="2" t="s">
        <v>95</v>
      </c>
    </row>
    <row r="58" customFormat="false" ht="15" hidden="false" customHeight="false" outlineLevel="0" collapsed="false">
      <c r="A58" s="2" t="s">
        <v>96</v>
      </c>
      <c r="B58" s="12" t="n">
        <v>0.3</v>
      </c>
      <c r="C58" s="12" t="n">
        <v>0.27</v>
      </c>
      <c r="D58" s="12" t="n">
        <v>0.25</v>
      </c>
      <c r="E58" s="13" t="n">
        <f aca="false">CHOOSE($D$3,B58,C58,D58)</f>
        <v>0.27</v>
      </c>
      <c r="F58" s="2" t="s">
        <v>97</v>
      </c>
    </row>
    <row r="59" customFormat="false" ht="15" hidden="false" customHeight="false" outlineLevel="0" collapsed="false">
      <c r="A59" s="6" t="s">
        <v>98</v>
      </c>
      <c r="B59" s="7"/>
      <c r="C59" s="7"/>
      <c r="D59" s="7"/>
      <c r="E59" s="7"/>
      <c r="F59" s="7"/>
    </row>
    <row r="60" customFormat="false" ht="15" hidden="false" customHeight="false" outlineLevel="0" collapsed="false">
      <c r="A60" s="2" t="s">
        <v>99</v>
      </c>
      <c r="B60" s="18" t="n">
        <v>12000</v>
      </c>
      <c r="C60" s="18" t="n">
        <v>18000</v>
      </c>
      <c r="D60" s="18" t="n">
        <v>24000</v>
      </c>
      <c r="E60" s="19" t="n">
        <f aca="false">CHOOSE($D$3,B60,C60,D60)</f>
        <v>18000</v>
      </c>
    </row>
    <row r="61" customFormat="false" ht="15" hidden="false" customHeight="false" outlineLevel="0" collapsed="false">
      <c r="A61" s="2" t="s">
        <v>100</v>
      </c>
      <c r="B61" s="18" t="n">
        <v>24000</v>
      </c>
      <c r="C61" s="18" t="n">
        <v>36000</v>
      </c>
      <c r="D61" s="18" t="n">
        <v>60000</v>
      </c>
      <c r="E61" s="19" t="n">
        <f aca="false">CHOOSE($D$3,B61,C61,D61)</f>
        <v>36000</v>
      </c>
    </row>
    <row r="62" customFormat="false" ht="15" hidden="false" customHeight="false" outlineLevel="0" collapsed="false">
      <c r="A62" s="2" t="s">
        <v>101</v>
      </c>
      <c r="B62" s="18" t="n">
        <v>18000</v>
      </c>
      <c r="C62" s="18" t="n">
        <v>24000</v>
      </c>
      <c r="D62" s="18" t="n">
        <v>36000</v>
      </c>
      <c r="E62" s="19" t="n">
        <f aca="false">CHOOSE($D$3,B62,C62,D62)</f>
        <v>24000</v>
      </c>
    </row>
    <row r="63" customFormat="false" ht="15" hidden="false" customHeight="false" outlineLevel="0" collapsed="false">
      <c r="A63" s="2" t="s">
        <v>102</v>
      </c>
      <c r="B63" s="18" t="n">
        <v>30000</v>
      </c>
      <c r="C63" s="18" t="n">
        <v>30000</v>
      </c>
      <c r="D63" s="18" t="n">
        <v>30000</v>
      </c>
      <c r="E63" s="19" t="n">
        <f aca="false">CHOOSE($D$3,B63,C63,D63)</f>
        <v>30000</v>
      </c>
    </row>
    <row r="64" customFormat="false" ht="15" hidden="false" customHeight="false" outlineLevel="0" collapsed="false">
      <c r="A64" s="2" t="s">
        <v>103</v>
      </c>
      <c r="B64" s="18" t="n">
        <v>12000</v>
      </c>
      <c r="C64" s="18" t="n">
        <v>15000</v>
      </c>
      <c r="D64" s="18" t="n">
        <v>18000</v>
      </c>
      <c r="E64" s="19" t="n">
        <f aca="false">CHOOSE($D$3,B64,C64,D64)</f>
        <v>15000</v>
      </c>
    </row>
    <row r="65" customFormat="false" ht="15" hidden="false" customHeight="false" outlineLevel="0" collapsed="false">
      <c r="A65" s="2" t="s">
        <v>104</v>
      </c>
      <c r="B65" s="18" t="n">
        <v>6000</v>
      </c>
      <c r="C65" s="18" t="n">
        <v>6000</v>
      </c>
      <c r="D65" s="18" t="n">
        <v>9000</v>
      </c>
      <c r="E65" s="19" t="n">
        <f aca="false">CHOOSE($D$3,B65,C65,D65)</f>
        <v>6000</v>
      </c>
    </row>
    <row r="66" customFormat="false" ht="15" hidden="false" customHeight="false" outlineLevel="0" collapsed="false">
      <c r="A66" s="2" t="s">
        <v>105</v>
      </c>
      <c r="B66" s="12" t="n">
        <v>0.12</v>
      </c>
      <c r="C66" s="12" t="n">
        <v>0.15</v>
      </c>
      <c r="D66" s="12" t="n">
        <v>0.2</v>
      </c>
      <c r="E66" s="13" t="n">
        <f aca="false">CHOOSE($D$3,B66,C66,D66)</f>
        <v>0.15</v>
      </c>
    </row>
    <row r="67" customFormat="false" ht="15" hidden="false" customHeight="false" outlineLevel="0" collapsed="false">
      <c r="A67" s="6" t="s">
        <v>106</v>
      </c>
      <c r="B67" s="7"/>
      <c r="C67" s="7"/>
      <c r="D67" s="7"/>
      <c r="E67" s="7"/>
      <c r="F67" s="7"/>
    </row>
    <row r="68" customFormat="false" ht="15" hidden="false" customHeight="false" outlineLevel="0" collapsed="false">
      <c r="A68" s="2" t="s">
        <v>107</v>
      </c>
      <c r="B68" s="12" t="n">
        <v>0.8</v>
      </c>
      <c r="C68" s="12" t="n">
        <v>0.85</v>
      </c>
      <c r="D68" s="12" t="n">
        <v>0.9</v>
      </c>
      <c r="E68" s="13" t="n">
        <f aca="false">CHOOSE($D$3,B68,C68,D68)</f>
        <v>0.85</v>
      </c>
      <c r="F68" s="2" t="s">
        <v>108</v>
      </c>
    </row>
    <row r="69" customFormat="false" ht="15" hidden="false" customHeight="false" outlineLevel="0" collapsed="false">
      <c r="A69" s="2" t="s">
        <v>109</v>
      </c>
      <c r="B69" s="12" t="n">
        <v>0.12</v>
      </c>
      <c r="C69" s="12" t="n">
        <v>0.1</v>
      </c>
      <c r="D69" s="12" t="n">
        <v>0.08</v>
      </c>
      <c r="E69" s="13" t="n">
        <f aca="false">CHOOSE($D$3,B69,C69,D69)</f>
        <v>0.1</v>
      </c>
      <c r="F69" s="2" t="s">
        <v>110</v>
      </c>
    </row>
    <row r="70" customFormat="false" ht="15" hidden="false" customHeight="false" outlineLevel="0" collapsed="false">
      <c r="A70" s="2" t="s">
        <v>111</v>
      </c>
      <c r="B70" s="8" t="n">
        <v>6</v>
      </c>
      <c r="C70" s="8" t="n">
        <v>6</v>
      </c>
      <c r="D70" s="8" t="n">
        <v>6</v>
      </c>
      <c r="E70" s="9" t="n">
        <f aca="false">CHOOSE($D$3,B70,C70,D70)</f>
        <v>6</v>
      </c>
    </row>
    <row r="71" customFormat="false" ht="15" hidden="false" customHeight="false" outlineLevel="0" collapsed="false">
      <c r="A71" s="2" t="s">
        <v>112</v>
      </c>
      <c r="B71" s="12" t="n">
        <v>0.25</v>
      </c>
      <c r="C71" s="12" t="n">
        <v>0.25</v>
      </c>
      <c r="D71" s="12" t="n">
        <v>0.3</v>
      </c>
      <c r="E71" s="13" t="n">
        <f aca="false">CHOOSE($D$3,B71,C71,D71)</f>
        <v>0.25</v>
      </c>
      <c r="F71" s="2" t="s">
        <v>113</v>
      </c>
    </row>
    <row r="72" customFormat="false" ht="15" hidden="false" customHeight="false" outlineLevel="0" collapsed="false">
      <c r="A72" s="2" t="s">
        <v>114</v>
      </c>
      <c r="B72" s="18" t="n">
        <v>100000</v>
      </c>
      <c r="C72" s="18" t="n">
        <v>100000</v>
      </c>
      <c r="D72" s="18" t="n">
        <v>100000</v>
      </c>
      <c r="E72" s="19" t="n">
        <f aca="false">CHOOSE($D$3,B72,C72,D72)</f>
        <v>100000</v>
      </c>
      <c r="F72" s="2" t="s">
        <v>115</v>
      </c>
    </row>
    <row r="73" customFormat="false" ht="15" hidden="false" customHeight="false" outlineLevel="0" collapsed="false">
      <c r="A73" s="6" t="s">
        <v>116</v>
      </c>
      <c r="B73" s="7"/>
      <c r="C73" s="7"/>
      <c r="D73" s="7"/>
      <c r="E73" s="7"/>
      <c r="F73" s="7"/>
    </row>
    <row r="74" customFormat="false" ht="15" hidden="false" customHeight="false" outlineLevel="0" collapsed="false">
      <c r="A74" s="2" t="s">
        <v>117</v>
      </c>
      <c r="B74" s="12" t="n">
        <v>0.3</v>
      </c>
      <c r="C74" s="12" t="n">
        <v>0.35</v>
      </c>
      <c r="D74" s="12" t="n">
        <v>0.4</v>
      </c>
      <c r="E74" s="13" t="n">
        <f aca="false">CHOOSE($D$3,B74,C74,D74)</f>
        <v>0.35</v>
      </c>
    </row>
    <row r="75" customFormat="false" ht="15" hidden="false" customHeight="false" outlineLevel="0" collapsed="false">
      <c r="A75" s="2" t="s">
        <v>118</v>
      </c>
      <c r="B75" s="12" t="n">
        <v>0.35</v>
      </c>
      <c r="C75" s="12" t="n">
        <v>0.4</v>
      </c>
      <c r="D75" s="12" t="n">
        <v>0.45</v>
      </c>
      <c r="E75" s="13" t="n">
        <f aca="false">CHOOSE($D$3,B75,C75,D75)</f>
        <v>0.4</v>
      </c>
    </row>
    <row r="76" customFormat="false" ht="15" hidden="false" customHeight="false" outlineLevel="0" collapsed="false">
      <c r="A76" s="2" t="s">
        <v>119</v>
      </c>
      <c r="B76" s="12" t="n">
        <v>0.45</v>
      </c>
      <c r="C76" s="12" t="n">
        <v>0.55</v>
      </c>
      <c r="D76" s="12" t="n">
        <v>0.65</v>
      </c>
      <c r="E76" s="13" t="n">
        <f aca="false">CHOOSE($D$3,B76,C76,D76)</f>
        <v>0.55</v>
      </c>
    </row>
    <row r="77" customFormat="false" ht="15" hidden="false" customHeight="false" outlineLevel="0" collapsed="false">
      <c r="A77" s="2" t="s">
        <v>120</v>
      </c>
      <c r="B77" s="12" t="n">
        <v>0.75</v>
      </c>
      <c r="C77" s="12" t="n">
        <v>0.8</v>
      </c>
      <c r="D77" s="12" t="n">
        <v>0.85</v>
      </c>
      <c r="E77" s="13" t="n">
        <f aca="false">CHOOSE($D$3,B77,C77,D77)</f>
        <v>0.8</v>
      </c>
    </row>
    <row r="78" customFormat="false" ht="15" hidden="false" customHeight="false" outlineLevel="0" collapsed="false">
      <c r="A78" s="6" t="s">
        <v>121</v>
      </c>
      <c r="B78" s="7"/>
      <c r="C78" s="7"/>
      <c r="D78" s="7"/>
      <c r="E78" s="7"/>
      <c r="F78" s="7"/>
    </row>
    <row r="79" customFormat="false" ht="15" hidden="false" customHeight="false" outlineLevel="0" collapsed="false">
      <c r="A79" s="2" t="s">
        <v>122</v>
      </c>
      <c r="B79" s="12" t="n">
        <v>0.08</v>
      </c>
      <c r="C79" s="12" t="n">
        <v>0.1</v>
      </c>
      <c r="D79" s="12" t="n">
        <v>0.11</v>
      </c>
      <c r="E79" s="13" t="n">
        <f aca="false">CHOOSE($D$3,B79,C79,D79)</f>
        <v>0.1</v>
      </c>
    </row>
    <row r="80" customFormat="false" ht="15" hidden="false" customHeight="false" outlineLevel="0" collapsed="false">
      <c r="A80" s="2" t="s">
        <v>117</v>
      </c>
      <c r="B80" s="12" t="n">
        <v>0.4</v>
      </c>
      <c r="C80" s="12" t="n">
        <v>0.45</v>
      </c>
      <c r="D80" s="12" t="n">
        <v>0.48</v>
      </c>
      <c r="E80" s="13" t="n">
        <f aca="false">CHOOSE($D$3,B80,C80,D80)</f>
        <v>0.45</v>
      </c>
    </row>
    <row r="81" customFormat="false" ht="15" hidden="false" customHeight="false" outlineLevel="0" collapsed="false">
      <c r="A81" s="2" t="s">
        <v>118</v>
      </c>
      <c r="B81" s="12" t="n">
        <v>0.3</v>
      </c>
      <c r="C81" s="12" t="n">
        <v>0.35</v>
      </c>
      <c r="D81" s="12" t="n">
        <v>0.38</v>
      </c>
      <c r="E81" s="13" t="n">
        <f aca="false">CHOOSE($D$3,B81,C81,D81)</f>
        <v>0.35</v>
      </c>
    </row>
    <row r="82" customFormat="false" ht="15" hidden="false" customHeight="false" outlineLevel="0" collapsed="false">
      <c r="A82" s="2" t="s">
        <v>119</v>
      </c>
      <c r="B82" s="12" t="n">
        <v>0.4</v>
      </c>
      <c r="C82" s="12" t="n">
        <v>0.45</v>
      </c>
      <c r="D82" s="12" t="n">
        <v>0.48</v>
      </c>
      <c r="E82" s="13" t="n">
        <f aca="false">CHOOSE($D$3,B82,C82,D82)</f>
        <v>0.45</v>
      </c>
    </row>
    <row r="83" customFormat="false" ht="15" hidden="false" customHeight="false" outlineLevel="0" collapsed="false">
      <c r="A83" s="2" t="s">
        <v>120</v>
      </c>
      <c r="B83" s="12" t="n">
        <v>0.7</v>
      </c>
      <c r="C83" s="12" t="n">
        <v>0.75</v>
      </c>
      <c r="D83" s="12" t="n">
        <v>0.78</v>
      </c>
      <c r="E83" s="13" t="n">
        <f aca="false">CHOOSE($D$3,B83,C83,D83)</f>
        <v>0.75</v>
      </c>
    </row>
    <row r="84" customFormat="false" ht="15" hidden="false" customHeight="false" outlineLevel="0" collapsed="false">
      <c r="A84" s="2" t="s">
        <v>123</v>
      </c>
      <c r="B84" s="8" t="n">
        <v>6</v>
      </c>
      <c r="C84" s="8" t="n">
        <v>6</v>
      </c>
      <c r="D84" s="8" t="n">
        <v>6</v>
      </c>
      <c r="E84" s="9" t="n">
        <f aca="false">CHOOSE($D$3,B84,C84,D84)</f>
        <v>6</v>
      </c>
    </row>
    <row r="85" customFormat="false" ht="15" hidden="false" customHeight="false" outlineLevel="0" collapsed="false">
      <c r="A85" s="6" t="s">
        <v>124</v>
      </c>
      <c r="B85" s="7"/>
      <c r="C85" s="7"/>
      <c r="D85" s="7"/>
      <c r="E85" s="7"/>
      <c r="F85" s="7"/>
    </row>
    <row r="86" customFormat="false" ht="15" hidden="false" customHeight="false" outlineLevel="0" collapsed="false">
      <c r="A86" s="2" t="s">
        <v>125</v>
      </c>
      <c r="B86" s="12" t="n">
        <v>0.65</v>
      </c>
      <c r="C86" s="12" t="n">
        <v>0.75</v>
      </c>
      <c r="D86" s="12" t="n">
        <v>0.85</v>
      </c>
      <c r="E86" s="13" t="n">
        <f aca="false">CHOOSE($D$3,B86,C86,D86)</f>
        <v>0.75</v>
      </c>
    </row>
    <row r="87" customFormat="false" ht="15" hidden="false" customHeight="false" outlineLevel="0" collapsed="false">
      <c r="A87" s="2" t="s">
        <v>118</v>
      </c>
      <c r="B87" s="12" t="n">
        <v>0.55</v>
      </c>
      <c r="C87" s="12" t="n">
        <v>0.65</v>
      </c>
      <c r="D87" s="12" t="n">
        <v>0.75</v>
      </c>
      <c r="E87" s="13" t="n">
        <f aca="false">CHOOSE($D$3,B87,C87,D87)</f>
        <v>0.65</v>
      </c>
    </row>
    <row r="88" customFormat="false" ht="15" hidden="false" customHeight="false" outlineLevel="0" collapsed="false">
      <c r="A88" s="2" t="s">
        <v>119</v>
      </c>
      <c r="B88" s="12" t="n">
        <v>0.6</v>
      </c>
      <c r="C88" s="12" t="n">
        <v>0.7</v>
      </c>
      <c r="D88" s="12" t="n">
        <v>0.8</v>
      </c>
      <c r="E88" s="13" t="n">
        <f aca="false">CHOOSE($D$3,B88,C88,D88)</f>
        <v>0.7</v>
      </c>
    </row>
    <row r="89" customFormat="false" ht="15" hidden="false" customHeight="false" outlineLevel="0" collapsed="false">
      <c r="A89" s="2" t="s">
        <v>120</v>
      </c>
      <c r="B89" s="12" t="n">
        <v>0.8</v>
      </c>
      <c r="C89" s="12" t="n">
        <v>0.85</v>
      </c>
      <c r="D89" s="12" t="n">
        <v>0.9</v>
      </c>
      <c r="E89" s="13" t="n">
        <f aca="false">CHOOSE($D$3,B89,C89,D89)</f>
        <v>0.85</v>
      </c>
    </row>
    <row r="90" customFormat="false" ht="15" hidden="false" customHeight="false" outlineLevel="0" collapsed="false">
      <c r="A90" s="2" t="s">
        <v>126</v>
      </c>
      <c r="B90" s="16" t="n">
        <v>0.5</v>
      </c>
      <c r="C90" s="16" t="n">
        <v>0.75</v>
      </c>
      <c r="D90" s="16" t="n">
        <v>1</v>
      </c>
      <c r="E90" s="17" t="n">
        <f aca="false">CHOOSE($D$3,B90,C90,D90)</f>
        <v>0.75</v>
      </c>
      <c r="F90" s="2" t="s">
        <v>127</v>
      </c>
    </row>
    <row r="91" customFormat="false" ht="15" hidden="false" customHeight="false" outlineLevel="0" collapsed="false">
      <c r="A91" s="6" t="s">
        <v>128</v>
      </c>
      <c r="B91" s="7"/>
      <c r="C91" s="7"/>
      <c r="D91" s="7"/>
      <c r="E91" s="7"/>
      <c r="F91" s="7"/>
    </row>
    <row r="92" customFormat="false" ht="15" hidden="false" customHeight="false" outlineLevel="0" collapsed="false">
      <c r="A92" s="2" t="s">
        <v>129</v>
      </c>
      <c r="B92" s="12" t="n">
        <v>0.15</v>
      </c>
      <c r="C92" s="12" t="n">
        <v>0.2</v>
      </c>
      <c r="D92" s="12" t="n">
        <v>0.25</v>
      </c>
      <c r="E92" s="13" t="n">
        <f aca="false">CHOOSE($D$3,B92,C92,D92)</f>
        <v>0.2</v>
      </c>
    </row>
    <row r="93" customFormat="false" ht="15" hidden="false" customHeight="false" outlineLevel="0" collapsed="false">
      <c r="A93" s="2" t="s">
        <v>117</v>
      </c>
      <c r="B93" s="12" t="n">
        <v>0.45</v>
      </c>
      <c r="C93" s="12" t="n">
        <v>0.55</v>
      </c>
      <c r="D93" s="12" t="n">
        <v>0.65</v>
      </c>
      <c r="E93" s="13" t="n">
        <f aca="false">CHOOSE($D$3,B93,C93,D93)</f>
        <v>0.55</v>
      </c>
    </row>
    <row r="94" customFormat="false" ht="15" hidden="false" customHeight="false" outlineLevel="0" collapsed="false">
      <c r="A94" s="2" t="s">
        <v>118</v>
      </c>
      <c r="B94" s="12" t="n">
        <v>0.4</v>
      </c>
      <c r="C94" s="12" t="n">
        <v>0.5</v>
      </c>
      <c r="D94" s="12" t="n">
        <v>0.6</v>
      </c>
      <c r="E94" s="13" t="n">
        <f aca="false">CHOOSE($D$3,B94,C94,D94)</f>
        <v>0.5</v>
      </c>
    </row>
    <row r="95" customFormat="false" ht="15" hidden="false" customHeight="false" outlineLevel="0" collapsed="false">
      <c r="A95" s="2" t="s">
        <v>119</v>
      </c>
      <c r="B95" s="12" t="n">
        <v>0.5</v>
      </c>
      <c r="C95" s="12" t="n">
        <v>0.6</v>
      </c>
      <c r="D95" s="12" t="n">
        <v>0.7</v>
      </c>
      <c r="E95" s="13" t="n">
        <f aca="false">CHOOSE($D$3,B95,C95,D95)</f>
        <v>0.6</v>
      </c>
    </row>
    <row r="96" customFormat="false" ht="15" hidden="false" customHeight="false" outlineLevel="0" collapsed="false">
      <c r="A96" s="2" t="s">
        <v>120</v>
      </c>
      <c r="B96" s="12" t="n">
        <v>0.75</v>
      </c>
      <c r="C96" s="12" t="n">
        <v>0.8</v>
      </c>
      <c r="D96" s="12" t="n">
        <v>0.85</v>
      </c>
      <c r="E96" s="13" t="n">
        <f aca="false">CHOOSE($D$3,B96,C96,D96)</f>
        <v>0.8</v>
      </c>
    </row>
    <row r="97" customFormat="false" ht="15" hidden="false" customHeight="false" outlineLevel="0" collapsed="false">
      <c r="A97" s="2" t="s">
        <v>130</v>
      </c>
      <c r="B97" s="8" t="n">
        <v>3</v>
      </c>
      <c r="C97" s="8" t="n">
        <v>5</v>
      </c>
      <c r="D97" s="8" t="n">
        <v>8</v>
      </c>
      <c r="E97" s="9" t="n">
        <f aca="false">CHOOSE($D$3,B97,C97,D97)</f>
        <v>5</v>
      </c>
    </row>
    <row r="98" customFormat="false" ht="15" hidden="false" customHeight="false" outlineLevel="0" collapsed="false">
      <c r="A98" s="6" t="s">
        <v>131</v>
      </c>
      <c r="B98" s="7"/>
      <c r="C98" s="7"/>
      <c r="D98" s="7"/>
      <c r="E98" s="7"/>
      <c r="F98" s="7"/>
    </row>
    <row r="99" customFormat="false" ht="15" hidden="false" customHeight="false" outlineLevel="0" collapsed="false">
      <c r="A99" s="2" t="s">
        <v>132</v>
      </c>
      <c r="B99" s="16" t="n">
        <v>2.5</v>
      </c>
      <c r="C99" s="16" t="n">
        <v>3</v>
      </c>
      <c r="D99" s="16" t="n">
        <v>3.5</v>
      </c>
      <c r="E99" s="17" t="n">
        <f aca="false">CHOOSE($D$3,B99,C99,D99)</f>
        <v>3</v>
      </c>
      <c r="F99" s="2" t="s">
        <v>133</v>
      </c>
    </row>
    <row r="100" customFormat="false" ht="15" hidden="false" customHeight="false" outlineLevel="0" collapsed="false">
      <c r="A100" s="2" t="s">
        <v>134</v>
      </c>
      <c r="B100" s="8" t="n">
        <v>6</v>
      </c>
      <c r="C100" s="8" t="n">
        <v>8</v>
      </c>
      <c r="D100" s="8" t="n">
        <v>10</v>
      </c>
      <c r="E100" s="9" t="n">
        <f aca="false">CHOOSE($D$3,B100,C100,D100)</f>
        <v>8</v>
      </c>
      <c r="F100" s="2" t="s">
        <v>135</v>
      </c>
    </row>
    <row r="101" customFormat="false" ht="15" hidden="false" customHeight="false" outlineLevel="0" collapsed="false">
      <c r="A101" s="2" t="s">
        <v>136</v>
      </c>
      <c r="B101" s="8" t="n">
        <v>4</v>
      </c>
      <c r="C101" s="8" t="n">
        <v>6</v>
      </c>
      <c r="D101" s="8" t="n">
        <v>7</v>
      </c>
      <c r="E101" s="9" t="n">
        <f aca="false">CHOOSE($D$3,B101,C101,D101)</f>
        <v>6</v>
      </c>
    </row>
    <row r="102" customFormat="false" ht="15" hidden="false" customHeight="false" outlineLevel="0" collapsed="false">
      <c r="A102" s="2" t="s">
        <v>137</v>
      </c>
      <c r="B102" s="8" t="n">
        <v>5</v>
      </c>
      <c r="C102" s="8" t="n">
        <v>5</v>
      </c>
      <c r="D102" s="8" t="n">
        <v>5</v>
      </c>
      <c r="E102" s="9" t="n">
        <f aca="false">CHOOSE($D$3,B102,C102,D102)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138</v>
      </c>
    </row>
    <row r="3" customFormat="false" ht="15" hidden="false" customHeight="false" outlineLevel="0" collapsed="false">
      <c r="A3" s="3" t="s">
        <v>139</v>
      </c>
      <c r="B3" s="20" t="n">
        <f aca="false">Assumptions!$E$7*Assumptions!$E$8*1000000*Assumptions!$E$9</f>
        <v>1130500000</v>
      </c>
      <c r="D3" s="2" t="s">
        <v>140</v>
      </c>
    </row>
    <row r="4" customFormat="false" ht="15" hidden="false" customHeight="false" outlineLevel="0" collapsed="false">
      <c r="A4" s="3" t="s">
        <v>141</v>
      </c>
      <c r="B4" s="20" t="n">
        <f aca="false">B3*Assumptions!$E$10</f>
        <v>508725000</v>
      </c>
    </row>
    <row r="6" customFormat="false" ht="15" hidden="false" customHeight="false" outlineLevel="0" collapsed="false">
      <c r="A6" s="6" t="s">
        <v>142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B7" s="21" t="s">
        <v>143</v>
      </c>
      <c r="C7" s="21" t="s">
        <v>144</v>
      </c>
      <c r="D7" s="21" t="s">
        <v>145</v>
      </c>
      <c r="E7" s="21" t="s">
        <v>146</v>
      </c>
      <c r="F7" s="21" t="s">
        <v>147</v>
      </c>
    </row>
    <row r="8" customFormat="false" ht="15" hidden="false" customHeight="false" outlineLevel="0" collapsed="false">
      <c r="A8" s="2" t="s">
        <v>148</v>
      </c>
      <c r="B8" s="22" t="n">
        <f aca="false">Revenue!B18</f>
        <v>1059520</v>
      </c>
      <c r="C8" s="22" t="n">
        <f aca="false">Revenue!C18</f>
        <v>2473016</v>
      </c>
      <c r="D8" s="22" t="n">
        <f aca="false">Revenue!D18</f>
        <v>4756488</v>
      </c>
      <c r="E8" s="22" t="n">
        <f aca="false">Revenue!E18</f>
        <v>7737936</v>
      </c>
      <c r="F8" s="22" t="n">
        <f aca="false">Revenue!F18</f>
        <v>11217840</v>
      </c>
    </row>
    <row r="9" customFormat="false" ht="15" hidden="false" customHeight="false" outlineLevel="0" collapsed="false">
      <c r="A9" s="3" t="s">
        <v>149</v>
      </c>
      <c r="B9" s="15" t="n">
        <f aca="false">B8/$B$4</f>
        <v>0.00208269693842449</v>
      </c>
      <c r="C9" s="15" t="n">
        <f aca="false">C8/$B$4</f>
        <v>0.00486120399036808</v>
      </c>
      <c r="D9" s="15" t="n">
        <f aca="false">D8/$B$4</f>
        <v>0.00934982161285567</v>
      </c>
      <c r="E9" s="15" t="n">
        <f aca="false">E8/$B$4</f>
        <v>0.0152104496535456</v>
      </c>
      <c r="F9" s="15" t="n">
        <f aca="false">F8/$B$4</f>
        <v>0.0220508919357217</v>
      </c>
    </row>
    <row r="10" customFormat="false" ht="15" hidden="false" customHeight="false" outlineLevel="0" collapsed="false">
      <c r="A10" s="2" t="s">
        <v>150</v>
      </c>
      <c r="B10" s="23" t="n">
        <f aca="false">Funnels!B23/Assumptions!$E$7</f>
        <v>0.000648421052631579</v>
      </c>
      <c r="C10" s="23" t="n">
        <f aca="false">Funnels!C23/Assumptions!$E$7</f>
        <v>0.00151347368421053</v>
      </c>
      <c r="D10" s="23" t="n">
        <f aca="false">Funnels!D23/Assumptions!$E$7</f>
        <v>0.00291094736842105</v>
      </c>
      <c r="E10" s="23" t="n">
        <f aca="false">Funnels!E23/Assumptions!$E$7</f>
        <v>0.00473557894736842</v>
      </c>
      <c r="F10" s="23" t="n">
        <f aca="false">Funnels!F23/Assumptions!$E$7</f>
        <v>0.00686526315789474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151</v>
      </c>
    </row>
    <row r="3" customFormat="false" ht="15" hidden="false" customHeight="false" outlineLevel="0" collapsed="false">
      <c r="B3" s="21" t="s">
        <v>143</v>
      </c>
      <c r="C3" s="21" t="s">
        <v>144</v>
      </c>
      <c r="D3" s="21" t="s">
        <v>145</v>
      </c>
      <c r="E3" s="21" t="s">
        <v>146</v>
      </c>
      <c r="F3" s="21" t="s">
        <v>147</v>
      </c>
    </row>
    <row r="4" customFormat="false" ht="15" hidden="false" customHeight="false" outlineLevel="0" collapsed="false">
      <c r="A4" s="6" t="s">
        <v>152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2" t="s">
        <v>153</v>
      </c>
      <c r="B5" s="24" t="n">
        <f aca="false">Assumptions!$E$22</f>
        <v>500</v>
      </c>
      <c r="C5" s="24" t="n">
        <f aca="false">Assumptions!$E$23</f>
        <v>1500</v>
      </c>
      <c r="D5" s="24" t="n">
        <f aca="false">Assumptions!$E$24</f>
        <v>3000</v>
      </c>
      <c r="E5" s="24" t="n">
        <f aca="false">Assumptions!$E$25</f>
        <v>5000</v>
      </c>
      <c r="F5" s="24" t="n">
        <f aca="false">Assumptions!$E$26</f>
        <v>7000</v>
      </c>
    </row>
    <row r="6" customFormat="false" ht="15" hidden="false" customHeight="false" outlineLevel="0" collapsed="false">
      <c r="A6" s="2" t="s">
        <v>154</v>
      </c>
      <c r="B6" s="25" t="n">
        <f aca="false">B5*12</f>
        <v>6000</v>
      </c>
      <c r="C6" s="25" t="n">
        <f aca="false">C5*12</f>
        <v>18000</v>
      </c>
      <c r="D6" s="25" t="n">
        <f aca="false">D5*12</f>
        <v>36000</v>
      </c>
      <c r="E6" s="25" t="n">
        <f aca="false">E5*12</f>
        <v>60000</v>
      </c>
      <c r="F6" s="25" t="n">
        <f aca="false">F5*12</f>
        <v>84000</v>
      </c>
    </row>
    <row r="7" customFormat="false" ht="15" hidden="false" customHeight="false" outlineLevel="0" collapsed="false">
      <c r="A7" s="2" t="s">
        <v>155</v>
      </c>
      <c r="B7" s="24" t="n">
        <f aca="false">B6*Assumptions!$E$27</f>
        <v>60</v>
      </c>
      <c r="C7" s="24" t="n">
        <f aca="false">C6*Assumptions!$E$27</f>
        <v>180</v>
      </c>
      <c r="D7" s="24" t="n">
        <f aca="false">D6*Assumptions!$E$27</f>
        <v>360</v>
      </c>
      <c r="E7" s="24" t="n">
        <f aca="false">E6*Assumptions!$E$27</f>
        <v>600</v>
      </c>
      <c r="F7" s="24" t="n">
        <f aca="false">F6*Assumptions!$E$27</f>
        <v>840</v>
      </c>
    </row>
    <row r="8" customFormat="false" ht="15" hidden="false" customHeight="false" outlineLevel="0" collapsed="false">
      <c r="A8" s="2" t="s">
        <v>156</v>
      </c>
      <c r="B8" s="26" t="n">
        <f aca="false">B7*Assumptions!$E$28</f>
        <v>18</v>
      </c>
      <c r="C8" s="26" t="n">
        <f aca="false">C7*Assumptions!$E$28</f>
        <v>54</v>
      </c>
      <c r="D8" s="26" t="n">
        <f aca="false">D7*Assumptions!$E$28</f>
        <v>108</v>
      </c>
      <c r="E8" s="26" t="n">
        <f aca="false">E7*Assumptions!$E$28</f>
        <v>180</v>
      </c>
      <c r="F8" s="26" t="n">
        <f aca="false">F7*Assumptions!$E$28</f>
        <v>252</v>
      </c>
    </row>
    <row r="9" customFormat="false" ht="15" hidden="false" customHeight="false" outlineLevel="0" collapsed="false">
      <c r="A9" s="2" t="s">
        <v>157</v>
      </c>
      <c r="B9" s="26" t="n">
        <f aca="false">B8*Assumptions!$E$29</f>
        <v>5.4</v>
      </c>
      <c r="C9" s="26" t="n">
        <f aca="false">C8*Assumptions!$E$29</f>
        <v>16.2</v>
      </c>
      <c r="D9" s="26" t="n">
        <f aca="false">D8*Assumptions!$E$29</f>
        <v>32.4</v>
      </c>
      <c r="E9" s="26" t="n">
        <f aca="false">E8*Assumptions!$E$29</f>
        <v>54</v>
      </c>
      <c r="F9" s="26" t="n">
        <f aca="false">F8*Assumptions!$E$29</f>
        <v>75.6</v>
      </c>
    </row>
    <row r="10" customFormat="false" ht="15" hidden="false" customHeight="false" outlineLevel="0" collapsed="false">
      <c r="A10" s="3" t="s">
        <v>158</v>
      </c>
      <c r="B10" s="27" t="n">
        <f aca="false">B9*Assumptions!$E$30</f>
        <v>2.16</v>
      </c>
      <c r="C10" s="27" t="n">
        <f aca="false">C9*Assumptions!$E$30</f>
        <v>6.48</v>
      </c>
      <c r="D10" s="27" t="n">
        <f aca="false">D9*Assumptions!$E$30</f>
        <v>12.96</v>
      </c>
      <c r="E10" s="27" t="n">
        <f aca="false">E9*Assumptions!$E$30</f>
        <v>21.6</v>
      </c>
      <c r="F10" s="27" t="n">
        <f aca="false">F9*Assumptions!$E$30</f>
        <v>30.24</v>
      </c>
    </row>
    <row r="11" customFormat="false" ht="15" hidden="false" customHeight="false" outlineLevel="0" collapsed="false">
      <c r="A11" s="6" t="s">
        <v>66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2" t="s">
        <v>159</v>
      </c>
      <c r="B12" s="25" t="n">
        <f aca="false">0</f>
        <v>0</v>
      </c>
      <c r="C12" s="24" t="n">
        <f aca="false">Assumptions!$E$40</f>
        <v>1</v>
      </c>
      <c r="D12" s="24" t="n">
        <f aca="false">Assumptions!$E$41</f>
        <v>2</v>
      </c>
      <c r="E12" s="24" t="n">
        <f aca="false">Assumptions!$E$42</f>
        <v>4</v>
      </c>
      <c r="F12" s="24" t="n">
        <f aca="false">Assumptions!$E$43</f>
        <v>6</v>
      </c>
    </row>
    <row r="13" customFormat="false" ht="15" hidden="false" customHeight="false" outlineLevel="0" collapsed="false">
      <c r="A13" s="2" t="s">
        <v>160</v>
      </c>
      <c r="B13" s="28" t="n">
        <f aca="false">0</f>
        <v>0</v>
      </c>
      <c r="C13" s="26" t="n">
        <f aca="false">B12+(C12-B12)*Assumptions!$E$38</f>
        <v>0.5</v>
      </c>
      <c r="D13" s="26" t="n">
        <f aca="false">C12+(D12-C12)*Assumptions!$E$38</f>
        <v>1.5</v>
      </c>
      <c r="E13" s="26" t="n">
        <f aca="false">D12+(E12-D12)*Assumptions!$E$38</f>
        <v>3</v>
      </c>
      <c r="F13" s="26" t="n">
        <f aca="false">E12+(F12-E12)*Assumptions!$E$38</f>
        <v>5</v>
      </c>
    </row>
    <row r="14" customFormat="false" ht="15" hidden="false" customHeight="false" outlineLevel="0" collapsed="false">
      <c r="A14" s="2" t="s">
        <v>161</v>
      </c>
      <c r="B14" s="24" t="n">
        <f aca="false">Assumptions!$E$32*Assumptions!$E$33</f>
        <v>13800</v>
      </c>
      <c r="C14" s="24" t="n">
        <f aca="false">Assumptions!$E$32*Assumptions!$E$33</f>
        <v>13800</v>
      </c>
      <c r="D14" s="24" t="n">
        <f aca="false">Assumptions!$E$32*Assumptions!$E$33</f>
        <v>13800</v>
      </c>
      <c r="E14" s="24" t="n">
        <f aca="false">Assumptions!$E$32*Assumptions!$E$33</f>
        <v>13800</v>
      </c>
      <c r="F14" s="24" t="n">
        <f aca="false">Assumptions!$E$32*Assumptions!$E$33</f>
        <v>13800</v>
      </c>
    </row>
    <row r="15" customFormat="false" ht="15" hidden="false" customHeight="false" outlineLevel="0" collapsed="false">
      <c r="A15" s="2" t="s">
        <v>162</v>
      </c>
      <c r="B15" s="24" t="n">
        <f aca="false">B14*Assumptions!$E$34</f>
        <v>1104</v>
      </c>
      <c r="C15" s="24" t="n">
        <f aca="false">C14*Assumptions!$E$34</f>
        <v>1104</v>
      </c>
      <c r="D15" s="24" t="n">
        <f aca="false">D14*Assumptions!$E$34</f>
        <v>1104</v>
      </c>
      <c r="E15" s="24" t="n">
        <f aca="false">E14*Assumptions!$E$34</f>
        <v>1104</v>
      </c>
      <c r="F15" s="24" t="n">
        <f aca="false">F14*Assumptions!$E$34</f>
        <v>1104</v>
      </c>
    </row>
    <row r="16" customFormat="false" ht="15" hidden="false" customHeight="false" outlineLevel="0" collapsed="false">
      <c r="A16" s="2" t="s">
        <v>163</v>
      </c>
      <c r="B16" s="26" t="n">
        <f aca="false">B15*Assumptions!$E$35</f>
        <v>66.24</v>
      </c>
      <c r="C16" s="26" t="n">
        <f aca="false">C15*Assumptions!$E$35</f>
        <v>66.24</v>
      </c>
      <c r="D16" s="26" t="n">
        <f aca="false">D15*Assumptions!$E$35</f>
        <v>66.24</v>
      </c>
      <c r="E16" s="26" t="n">
        <f aca="false">E15*Assumptions!$E$35</f>
        <v>66.24</v>
      </c>
      <c r="F16" s="26" t="n">
        <f aca="false">F15*Assumptions!$E$35</f>
        <v>66.24</v>
      </c>
    </row>
    <row r="17" customFormat="false" ht="15" hidden="false" customHeight="false" outlineLevel="0" collapsed="false">
      <c r="A17" s="2" t="s">
        <v>164</v>
      </c>
      <c r="B17" s="26" t="n">
        <f aca="false">B16*Assumptions!$E$36</f>
        <v>16.56</v>
      </c>
      <c r="C17" s="26" t="n">
        <f aca="false">C16*Assumptions!$E$36</f>
        <v>16.56</v>
      </c>
      <c r="D17" s="26" t="n">
        <f aca="false">D16*Assumptions!$E$36</f>
        <v>16.56</v>
      </c>
      <c r="E17" s="26" t="n">
        <f aca="false">E16*Assumptions!$E$36</f>
        <v>16.56</v>
      </c>
      <c r="F17" s="26" t="n">
        <f aca="false">F16*Assumptions!$E$36</f>
        <v>16.56</v>
      </c>
    </row>
    <row r="18" customFormat="false" ht="15" hidden="false" customHeight="false" outlineLevel="0" collapsed="false">
      <c r="A18" s="2" t="s">
        <v>165</v>
      </c>
      <c r="B18" s="26" t="n">
        <f aca="false">B17*Assumptions!$E$37</f>
        <v>5.796</v>
      </c>
      <c r="C18" s="26" t="n">
        <f aca="false">C17*Assumptions!$E$37</f>
        <v>5.796</v>
      </c>
      <c r="D18" s="26" t="n">
        <f aca="false">D17*Assumptions!$E$37</f>
        <v>5.796</v>
      </c>
      <c r="E18" s="26" t="n">
        <f aca="false">E17*Assumptions!$E$37</f>
        <v>5.796</v>
      </c>
      <c r="F18" s="26" t="n">
        <f aca="false">F17*Assumptions!$E$37</f>
        <v>5.796</v>
      </c>
    </row>
    <row r="19" customFormat="false" ht="15" hidden="false" customHeight="false" outlineLevel="0" collapsed="false">
      <c r="A19" s="3" t="s">
        <v>166</v>
      </c>
      <c r="B19" s="17" t="n">
        <f aca="false">B13*B18</f>
        <v>0</v>
      </c>
      <c r="C19" s="17" t="n">
        <f aca="false">C13*C18</f>
        <v>2.898</v>
      </c>
      <c r="D19" s="17" t="n">
        <f aca="false">D13*D18</f>
        <v>8.694</v>
      </c>
      <c r="E19" s="17" t="n">
        <f aca="false">E13*E18</f>
        <v>17.388</v>
      </c>
      <c r="F19" s="17" t="n">
        <f aca="false">F13*F18</f>
        <v>28.98</v>
      </c>
    </row>
    <row r="20" customFormat="false" ht="15" hidden="false" customHeight="false" outlineLevel="0" collapsed="false">
      <c r="A20" s="6" t="s">
        <v>167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3" t="s">
        <v>168</v>
      </c>
      <c r="B21" s="27" t="n">
        <f aca="false">Assumptions!$E$44</f>
        <v>4</v>
      </c>
      <c r="C21" s="27" t="n">
        <f aca="false">Assumptions!$E$45</f>
        <v>5</v>
      </c>
      <c r="D21" s="27" t="n">
        <f aca="false">Assumptions!$E$46</f>
        <v>6</v>
      </c>
      <c r="E21" s="27" t="n">
        <f aca="false">Assumptions!$E$47</f>
        <v>6</v>
      </c>
      <c r="F21" s="27" t="n">
        <f aca="false">Assumptions!$E$48</f>
        <v>6</v>
      </c>
    </row>
    <row r="22" customFormat="false" ht="15" hidden="false" customHeight="false" outlineLevel="0" collapsed="false">
      <c r="A22" s="6" t="s">
        <v>169</v>
      </c>
      <c r="B22" s="7"/>
      <c r="C22" s="7"/>
      <c r="D22" s="7"/>
      <c r="E22" s="7"/>
      <c r="F22" s="7"/>
    </row>
    <row r="23" customFormat="false" ht="15" hidden="false" customHeight="false" outlineLevel="0" collapsed="false">
      <c r="A23" s="3" t="s">
        <v>170</v>
      </c>
      <c r="B23" s="17" t="n">
        <f aca="false">B10+B19+B21</f>
        <v>6.16</v>
      </c>
      <c r="C23" s="17" t="n">
        <f aca="false">C10+C19+C21</f>
        <v>14.378</v>
      </c>
      <c r="D23" s="17" t="n">
        <f aca="false">D10+D19+D21</f>
        <v>27.654</v>
      </c>
      <c r="E23" s="17" t="n">
        <f aca="false">E10+E19+E21</f>
        <v>44.988</v>
      </c>
      <c r="F23" s="17" t="n">
        <f aca="false">F10+F19+F21</f>
        <v>65.22</v>
      </c>
    </row>
    <row r="24" customFormat="false" ht="15" hidden="false" customHeight="false" outlineLevel="0" collapsed="false">
      <c r="A24" s="2" t="s">
        <v>171</v>
      </c>
      <c r="B24" s="29" t="n">
        <f aca="false">B10/B23</f>
        <v>0.350649350649351</v>
      </c>
      <c r="C24" s="29" t="n">
        <f aca="false">C10/C23</f>
        <v>0.450688551954375</v>
      </c>
      <c r="D24" s="29" t="n">
        <f aca="false">D10/D23</f>
        <v>0.468648296810588</v>
      </c>
      <c r="E24" s="29" t="n">
        <f aca="false">E10/E23</f>
        <v>0.480128034142438</v>
      </c>
      <c r="F24" s="29" t="n">
        <f aca="false">F10/F23</f>
        <v>0.463661453541858</v>
      </c>
    </row>
    <row r="25" customFormat="false" ht="15" hidden="false" customHeight="false" outlineLevel="0" collapsed="false">
      <c r="A25" s="2" t="s">
        <v>172</v>
      </c>
      <c r="B25" s="29" t="n">
        <f aca="false">B19/B23</f>
        <v>0</v>
      </c>
      <c r="C25" s="29" t="n">
        <f aca="false">C19/C23</f>
        <v>0.201557935735151</v>
      </c>
      <c r="D25" s="29" t="n">
        <f aca="false">D19/D23</f>
        <v>0.314384899110436</v>
      </c>
      <c r="E25" s="29" t="n">
        <f aca="false">E19/E23</f>
        <v>0.386503067484663</v>
      </c>
      <c r="F25" s="29" t="n">
        <f aca="false">F19/F23</f>
        <v>0.444342226310948</v>
      </c>
    </row>
    <row r="26" customFormat="false" ht="15" hidden="false" customHeight="false" outlineLevel="0" collapsed="false">
      <c r="A26" s="2" t="s">
        <v>173</v>
      </c>
      <c r="B26" s="29" t="n">
        <f aca="false">B21/B23</f>
        <v>0.649350649350649</v>
      </c>
      <c r="C26" s="29" t="n">
        <f aca="false">C21/C23</f>
        <v>0.347753512310474</v>
      </c>
      <c r="D26" s="29" t="n">
        <f aca="false">D21/D23</f>
        <v>0.216966804078976</v>
      </c>
      <c r="E26" s="29" t="n">
        <f aca="false">E21/E23</f>
        <v>0.133368898372899</v>
      </c>
      <c r="F26" s="29" t="n">
        <f aca="false">F21/F23</f>
        <v>0.0919963201471941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174</v>
      </c>
    </row>
    <row r="3" customFormat="false" ht="15" hidden="false" customHeight="false" outlineLevel="0" collapsed="false">
      <c r="B3" s="21" t="s">
        <v>143</v>
      </c>
      <c r="C3" s="21" t="s">
        <v>144</v>
      </c>
      <c r="D3" s="21" t="s">
        <v>145</v>
      </c>
      <c r="E3" s="21" t="s">
        <v>146</v>
      </c>
      <c r="F3" s="21" t="s">
        <v>147</v>
      </c>
    </row>
    <row r="4" customFormat="false" ht="15" hidden="false" customHeight="false" outlineLevel="0" collapsed="false">
      <c r="A4" s="6" t="s">
        <v>175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2" t="s">
        <v>176</v>
      </c>
      <c r="B5" s="26" t="n">
        <f aca="false">Funnels!B23</f>
        <v>6.16</v>
      </c>
      <c r="C5" s="26" t="n">
        <f aca="false">Funnels!C23</f>
        <v>14.378</v>
      </c>
      <c r="D5" s="26" t="n">
        <f aca="false">Funnels!D23</f>
        <v>27.654</v>
      </c>
      <c r="E5" s="26" t="n">
        <f aca="false">Funnels!E23</f>
        <v>44.988</v>
      </c>
      <c r="F5" s="26" t="n">
        <f aca="false">Funnels!F23</f>
        <v>65.22</v>
      </c>
    </row>
    <row r="6" customFormat="false" ht="15" hidden="false" customHeight="false" outlineLevel="0" collapsed="false">
      <c r="A6" s="2" t="s">
        <v>177</v>
      </c>
      <c r="B6" s="26" t="n">
        <f aca="false">B5*Assumptions!$E$18</f>
        <v>5.544</v>
      </c>
      <c r="C6" s="26" t="n">
        <f aca="false">C5*Assumptions!$E$18</f>
        <v>12.9402</v>
      </c>
      <c r="D6" s="26" t="n">
        <f aca="false">D5*Assumptions!$E$18</f>
        <v>24.8886</v>
      </c>
      <c r="E6" s="26" t="n">
        <f aca="false">E5*Assumptions!$E$18</f>
        <v>40.4892</v>
      </c>
      <c r="F6" s="26" t="n">
        <f aca="false">F5*Assumptions!$E$18</f>
        <v>58.698</v>
      </c>
    </row>
    <row r="7" customFormat="false" ht="15" hidden="false" customHeight="false" outlineLevel="0" collapsed="false">
      <c r="A7" s="2" t="s">
        <v>178</v>
      </c>
      <c r="B7" s="26" t="n">
        <f aca="false">B5*Assumptions!$E$19</f>
        <v>0.4928</v>
      </c>
      <c r="C7" s="26" t="n">
        <f aca="false">C5*Assumptions!$E$19</f>
        <v>1.15024</v>
      </c>
      <c r="D7" s="26" t="n">
        <f aca="false">D5*Assumptions!$E$19</f>
        <v>2.21232</v>
      </c>
      <c r="E7" s="26" t="n">
        <f aca="false">E5*Assumptions!$E$19</f>
        <v>3.59904</v>
      </c>
      <c r="F7" s="26" t="n">
        <f aca="false">F5*Assumptions!$E$19</f>
        <v>5.2176</v>
      </c>
    </row>
    <row r="8" customFormat="false" ht="15" hidden="false" customHeight="false" outlineLevel="0" collapsed="false">
      <c r="A8" s="2" t="s">
        <v>179</v>
      </c>
      <c r="B8" s="26" t="n">
        <f aca="false">B5*Assumptions!$E$20</f>
        <v>0.1232</v>
      </c>
      <c r="C8" s="26" t="n">
        <f aca="false">C5*Assumptions!$E$20</f>
        <v>0.28756</v>
      </c>
      <c r="D8" s="26" t="n">
        <f aca="false">D5*Assumptions!$E$20</f>
        <v>0.55308</v>
      </c>
      <c r="E8" s="26" t="n">
        <f aca="false">E5*Assumptions!$E$20</f>
        <v>0.89976</v>
      </c>
      <c r="F8" s="26" t="n">
        <f aca="false">F5*Assumptions!$E$20</f>
        <v>1.3044</v>
      </c>
    </row>
    <row r="9" customFormat="false" ht="15" hidden="false" customHeight="false" outlineLevel="0" collapsed="false">
      <c r="A9" s="6" t="s">
        <v>180</v>
      </c>
      <c r="B9" s="7"/>
      <c r="C9" s="7"/>
      <c r="D9" s="7"/>
      <c r="E9" s="7"/>
      <c r="F9" s="7"/>
    </row>
    <row r="10" customFormat="false" ht="15" hidden="false" customHeight="false" outlineLevel="0" collapsed="false">
      <c r="A10" s="2" t="s">
        <v>181</v>
      </c>
      <c r="B10" s="30" t="n">
        <f aca="false">B6*Assumptions!$E$15</f>
        <v>6.6528</v>
      </c>
      <c r="C10" s="30" t="n">
        <f aca="false">C6*Assumptions!$E$15</f>
        <v>15.52824</v>
      </c>
      <c r="D10" s="30" t="n">
        <f aca="false">D6*Assumptions!$E$15</f>
        <v>29.86632</v>
      </c>
      <c r="E10" s="30" t="n">
        <f aca="false">E6*Assumptions!$E$15</f>
        <v>48.58704</v>
      </c>
      <c r="F10" s="30" t="n">
        <f aca="false">F6*Assumptions!$E$15</f>
        <v>70.4376</v>
      </c>
    </row>
    <row r="11" customFormat="false" ht="15" hidden="false" customHeight="false" outlineLevel="0" collapsed="false">
      <c r="A11" s="2" t="s">
        <v>182</v>
      </c>
      <c r="B11" s="30" t="n">
        <f aca="false">B7*Assumptions!$E$16</f>
        <v>3.2032</v>
      </c>
      <c r="C11" s="30" t="n">
        <f aca="false">C7*Assumptions!$E$16</f>
        <v>7.47656</v>
      </c>
      <c r="D11" s="30" t="n">
        <f aca="false">D7*Assumptions!$E$16</f>
        <v>14.38008</v>
      </c>
      <c r="E11" s="30" t="n">
        <f aca="false">E7*Assumptions!$E$16</f>
        <v>23.39376</v>
      </c>
      <c r="F11" s="30" t="n">
        <f aca="false">F7*Assumptions!$E$16</f>
        <v>33.9144</v>
      </c>
    </row>
    <row r="12" customFormat="false" ht="15" hidden="false" customHeight="false" outlineLevel="0" collapsed="false">
      <c r="A12" s="2" t="s">
        <v>183</v>
      </c>
      <c r="B12" s="30" t="n">
        <f aca="false">B8*Assumptions!$E$17</f>
        <v>1.7248</v>
      </c>
      <c r="C12" s="30" t="n">
        <f aca="false">C8*Assumptions!$E$17</f>
        <v>4.02584</v>
      </c>
      <c r="D12" s="30" t="n">
        <f aca="false">D8*Assumptions!$E$17</f>
        <v>7.74312</v>
      </c>
      <c r="E12" s="30" t="n">
        <f aca="false">E8*Assumptions!$E$17</f>
        <v>12.59664</v>
      </c>
      <c r="F12" s="30" t="n">
        <f aca="false">F8*Assumptions!$E$17</f>
        <v>18.2616</v>
      </c>
    </row>
    <row r="13" customFormat="false" ht="15" hidden="false" customHeight="false" outlineLevel="0" collapsed="false">
      <c r="A13" s="3" t="s">
        <v>184</v>
      </c>
      <c r="B13" s="31" t="n">
        <f aca="false">SUM(B10:B12)</f>
        <v>11.5808</v>
      </c>
      <c r="C13" s="31" t="n">
        <f aca="false">SUM(C10:C12)</f>
        <v>27.03064</v>
      </c>
      <c r="D13" s="31" t="n">
        <f aca="false">SUM(D10:D12)</f>
        <v>51.98952</v>
      </c>
      <c r="E13" s="31" t="n">
        <f aca="false">SUM(E10:E12)</f>
        <v>84.57744</v>
      </c>
      <c r="F13" s="31" t="n">
        <f aca="false">SUM(F10:F12)</f>
        <v>122.6136</v>
      </c>
    </row>
    <row r="14" customFormat="false" ht="15" hidden="false" customHeight="false" outlineLevel="0" collapsed="false">
      <c r="A14" s="6" t="s">
        <v>185</v>
      </c>
      <c r="B14" s="7"/>
      <c r="C14" s="7"/>
      <c r="D14" s="7"/>
      <c r="E14" s="7"/>
      <c r="F14" s="7"/>
    </row>
    <row r="15" customFormat="false" ht="15" hidden="false" customHeight="false" outlineLevel="0" collapsed="false">
      <c r="A15" s="2" t="s">
        <v>186</v>
      </c>
      <c r="B15" s="22" t="n">
        <f aca="false">B10*1000000*Assumptions!$E$12</f>
        <v>532224</v>
      </c>
      <c r="C15" s="22" t="n">
        <f aca="false">C10*1000000*Assumptions!$E$12</f>
        <v>1242259.2</v>
      </c>
      <c r="D15" s="22" t="n">
        <f aca="false">D10*1000000*Assumptions!$E$12</f>
        <v>2389305.6</v>
      </c>
      <c r="E15" s="22" t="n">
        <f aca="false">E10*1000000*Assumptions!$E$12</f>
        <v>3886963.2</v>
      </c>
      <c r="F15" s="22" t="n">
        <f aca="false">F10*1000000*Assumptions!$E$12</f>
        <v>5635008</v>
      </c>
    </row>
    <row r="16" customFormat="false" ht="15" hidden="false" customHeight="false" outlineLevel="0" collapsed="false">
      <c r="A16" s="2" t="s">
        <v>187</v>
      </c>
      <c r="B16" s="22" t="n">
        <f aca="false">B11*1000000*Assumptions!$E$13</f>
        <v>320320</v>
      </c>
      <c r="C16" s="22" t="n">
        <f aca="false">C11*1000000*Assumptions!$E$13</f>
        <v>747656</v>
      </c>
      <c r="D16" s="22" t="n">
        <f aca="false">D11*1000000*Assumptions!$E$13</f>
        <v>1438008</v>
      </c>
      <c r="E16" s="22" t="n">
        <f aca="false">E11*1000000*Assumptions!$E$13</f>
        <v>2339376</v>
      </c>
      <c r="F16" s="22" t="n">
        <f aca="false">F11*1000000*Assumptions!$E$13</f>
        <v>3391440</v>
      </c>
    </row>
    <row r="17" customFormat="false" ht="15" hidden="false" customHeight="false" outlineLevel="0" collapsed="false">
      <c r="A17" s="2" t="s">
        <v>188</v>
      </c>
      <c r="B17" s="22" t="n">
        <f aca="false">B12*1000000*Assumptions!$E$14</f>
        <v>206976</v>
      </c>
      <c r="C17" s="22" t="n">
        <f aca="false">C12*1000000*Assumptions!$E$14</f>
        <v>483100.8</v>
      </c>
      <c r="D17" s="22" t="n">
        <f aca="false">D12*1000000*Assumptions!$E$14</f>
        <v>929174.4</v>
      </c>
      <c r="E17" s="22" t="n">
        <f aca="false">E12*1000000*Assumptions!$E$14</f>
        <v>1511596.8</v>
      </c>
      <c r="F17" s="22" t="n">
        <f aca="false">F12*1000000*Assumptions!$E$14</f>
        <v>2191392</v>
      </c>
    </row>
    <row r="18" customFormat="false" ht="15" hidden="false" customHeight="false" outlineLevel="0" collapsed="false">
      <c r="A18" s="3" t="s">
        <v>189</v>
      </c>
      <c r="B18" s="19" t="n">
        <f aca="false">SUM(B15:B17)</f>
        <v>1059520</v>
      </c>
      <c r="C18" s="19" t="n">
        <f aca="false">SUM(C15:C17)</f>
        <v>2473016</v>
      </c>
      <c r="D18" s="19" t="n">
        <f aca="false">SUM(D15:D17)</f>
        <v>4756488</v>
      </c>
      <c r="E18" s="19" t="n">
        <f aca="false">SUM(E15:E17)</f>
        <v>7737936</v>
      </c>
      <c r="F18" s="19" t="n">
        <f aca="false">SUM(F15:F17)</f>
        <v>11217840</v>
      </c>
    </row>
    <row r="19" customFormat="false" ht="15" hidden="false" customHeight="false" outlineLevel="0" collapsed="false">
      <c r="A19" s="2" t="s">
        <v>190</v>
      </c>
      <c r="B19" s="32" t="n">
        <f aca="false">B18/B5</f>
        <v>172000</v>
      </c>
      <c r="C19" s="32" t="n">
        <f aca="false">C18/C5</f>
        <v>172000</v>
      </c>
      <c r="D19" s="32" t="n">
        <f aca="false">D18/D5</f>
        <v>172000</v>
      </c>
      <c r="E19" s="32" t="n">
        <f aca="false">E18/E5</f>
        <v>172000</v>
      </c>
      <c r="F19" s="32" t="n">
        <f aca="false">F18/F5</f>
        <v>172000</v>
      </c>
    </row>
    <row r="20" customFormat="false" ht="15" hidden="false" customHeight="false" outlineLevel="0" collapsed="false">
      <c r="A20" s="2" t="s">
        <v>191</v>
      </c>
      <c r="B20" s="29" t="n">
        <f aca="false">B18/(B13*1000000)</f>
        <v>0.0914893617021277</v>
      </c>
      <c r="C20" s="29" t="n">
        <f aca="false">C18/(C13*1000000)</f>
        <v>0.0914893617021277</v>
      </c>
      <c r="D20" s="29" t="n">
        <f aca="false">D18/(D13*1000000)</f>
        <v>0.0914893617021277</v>
      </c>
      <c r="E20" s="29" t="n">
        <f aca="false">E18/(E13*1000000)</f>
        <v>0.0914893617021277</v>
      </c>
      <c r="F20" s="29" t="n">
        <f aca="false">F18/(F13*1000000)</f>
        <v>0.0914893617021277</v>
      </c>
    </row>
    <row r="21" customFormat="false" ht="15" hidden="false" customHeight="false" outlineLevel="0" collapsed="false">
      <c r="A21" s="6" t="s">
        <v>192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A22" s="2" t="s">
        <v>193</v>
      </c>
      <c r="B22" s="22" t="n">
        <f aca="false">B18*Funnels!B24</f>
        <v>371520</v>
      </c>
      <c r="C22" s="22" t="n">
        <f aca="false">C18*Funnels!C24</f>
        <v>1114560</v>
      </c>
      <c r="D22" s="22" t="n">
        <f aca="false">D18*Funnels!D24</f>
        <v>2229120</v>
      </c>
      <c r="E22" s="22" t="n">
        <f aca="false">E18*Funnels!E24</f>
        <v>3715200</v>
      </c>
      <c r="F22" s="22" t="n">
        <f aca="false">F18*Funnels!F24</f>
        <v>5201280</v>
      </c>
    </row>
    <row r="23" customFormat="false" ht="15" hidden="false" customHeight="false" outlineLevel="0" collapsed="false">
      <c r="A23" s="2" t="s">
        <v>194</v>
      </c>
      <c r="B23" s="22" t="n">
        <f aca="false">B18*Funnels!B25</f>
        <v>0</v>
      </c>
      <c r="C23" s="22" t="n">
        <f aca="false">C18*Funnels!C25</f>
        <v>498456</v>
      </c>
      <c r="D23" s="22" t="n">
        <f aca="false">D18*Funnels!D25</f>
        <v>1495368</v>
      </c>
      <c r="E23" s="22" t="n">
        <f aca="false">E18*Funnels!E25</f>
        <v>2990736</v>
      </c>
      <c r="F23" s="22" t="n">
        <f aca="false">F18*Funnels!F25</f>
        <v>4984560</v>
      </c>
    </row>
    <row r="24" customFormat="false" ht="15" hidden="false" customHeight="false" outlineLevel="0" collapsed="false">
      <c r="A24" s="2" t="s">
        <v>195</v>
      </c>
      <c r="B24" s="22" t="n">
        <f aca="false">B18*Funnels!B26</f>
        <v>688000</v>
      </c>
      <c r="C24" s="22" t="n">
        <f aca="false">C18*Funnels!C26</f>
        <v>860000</v>
      </c>
      <c r="D24" s="22" t="n">
        <f aca="false">D18*Funnels!D26</f>
        <v>1032000</v>
      </c>
      <c r="E24" s="22" t="n">
        <f aca="false">E18*Funnels!E26</f>
        <v>1032000</v>
      </c>
      <c r="F24" s="22" t="n">
        <f aca="false">F18*Funnels!F26</f>
        <v>1032000</v>
      </c>
    </row>
    <row r="25" customFormat="false" ht="15" hidden="false" customHeight="false" outlineLevel="0" collapsed="false">
      <c r="A25" s="6" t="s">
        <v>196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3" t="s">
        <v>197</v>
      </c>
      <c r="B26" s="20" t="n">
        <f aca="false">B18*Assumptions!$E$68</f>
        <v>900592</v>
      </c>
      <c r="C26" s="20" t="n">
        <f aca="false">C18*Assumptions!$E$68+B18*(1-Assumptions!$E$68)</f>
        <v>2260991.6</v>
      </c>
      <c r="D26" s="20" t="n">
        <f aca="false">D18*Assumptions!$E$68+C18*(1-Assumptions!$E$68)</f>
        <v>4413967.2</v>
      </c>
      <c r="E26" s="20" t="n">
        <f aca="false">E18*Assumptions!$E$68+D18*(1-Assumptions!$E$68)</f>
        <v>7290718.8</v>
      </c>
      <c r="F26" s="20" t="n">
        <f aca="false">F18*Assumptions!$E$68+E18*(1-Assumptions!$E$68)</f>
        <v>10695854.4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0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198</v>
      </c>
    </row>
    <row r="3" customFormat="false" ht="15" hidden="false" customHeight="false" outlineLevel="0" collapsed="false">
      <c r="A3" s="6" t="s">
        <v>199</v>
      </c>
      <c r="B3" s="7"/>
      <c r="C3" s="7"/>
      <c r="D3" s="7"/>
    </row>
    <row r="4" customFormat="false" ht="15" hidden="false" customHeight="false" outlineLevel="0" collapsed="false">
      <c r="A4" s="2" t="s">
        <v>200</v>
      </c>
      <c r="B4" s="26" t="n">
        <f aca="false">Funnels!D18</f>
        <v>5.796</v>
      </c>
    </row>
    <row r="5" customFormat="false" ht="15" hidden="false" customHeight="false" outlineLevel="0" collapsed="false">
      <c r="A5" s="2" t="s">
        <v>190</v>
      </c>
      <c r="B5" s="22" t="n">
        <f aca="false">Revenue!D19</f>
        <v>172000</v>
      </c>
    </row>
    <row r="6" customFormat="false" ht="15" hidden="false" customHeight="false" outlineLevel="0" collapsed="false">
      <c r="A6" s="2" t="s">
        <v>201</v>
      </c>
      <c r="B6" s="32" t="n">
        <f aca="false">B4*B5</f>
        <v>996912</v>
      </c>
    </row>
    <row r="7" customFormat="false" ht="15" hidden="false" customHeight="false" outlineLevel="0" collapsed="false">
      <c r="A7" s="2" t="s">
        <v>202</v>
      </c>
      <c r="B7" s="22" t="n">
        <f aca="false">B6*Assumptions!$E$57</f>
        <v>418703.04</v>
      </c>
    </row>
    <row r="8" customFormat="false" ht="15" hidden="false" customHeight="false" outlineLevel="0" collapsed="false">
      <c r="A8" s="2" t="s">
        <v>203</v>
      </c>
      <c r="B8" s="32" t="n">
        <f aca="false">0</f>
        <v>0</v>
      </c>
    </row>
    <row r="9" customFormat="false" ht="15" hidden="false" customHeight="false" outlineLevel="0" collapsed="false">
      <c r="A9" s="2" t="s">
        <v>204</v>
      </c>
      <c r="B9" s="19" t="n">
        <f aca="false">B8+B7</f>
        <v>418703.04</v>
      </c>
    </row>
    <row r="10" customFormat="false" ht="15" hidden="false" customHeight="false" outlineLevel="0" collapsed="false">
      <c r="A10" s="2" t="s">
        <v>205</v>
      </c>
      <c r="B10" s="32" t="n">
        <f aca="false">B7</f>
        <v>418703.04</v>
      </c>
    </row>
    <row r="11" customFormat="false" ht="15" hidden="false" customHeight="false" outlineLevel="0" collapsed="false">
      <c r="A11" s="2" t="s">
        <v>206</v>
      </c>
      <c r="B11" s="19" t="n">
        <f aca="false">B6-B10</f>
        <v>578208.96</v>
      </c>
    </row>
    <row r="12" customFormat="false" ht="15" hidden="false" customHeight="false" outlineLevel="0" collapsed="false">
      <c r="A12" s="2" t="s">
        <v>207</v>
      </c>
      <c r="B12" s="29" t="n">
        <f aca="false">B11/B6</f>
        <v>0.58</v>
      </c>
    </row>
    <row r="14" customFormat="false" ht="15" hidden="false" customHeight="false" outlineLevel="0" collapsed="false">
      <c r="A14" s="6" t="s">
        <v>208</v>
      </c>
      <c r="B14" s="7"/>
      <c r="C14" s="7"/>
      <c r="D14" s="7"/>
      <c r="E14" s="7"/>
    </row>
    <row r="15" customFormat="false" ht="15" hidden="false" customHeight="false" outlineLevel="0" collapsed="false">
      <c r="A15" s="5" t="s">
        <v>209</v>
      </c>
      <c r="B15" s="5" t="s">
        <v>210</v>
      </c>
      <c r="C15" s="5" t="s">
        <v>211</v>
      </c>
      <c r="D15" s="5" t="s">
        <v>33</v>
      </c>
    </row>
    <row r="16" customFormat="false" ht="15" hidden="false" customHeight="false" outlineLevel="0" collapsed="false">
      <c r="A16" s="2" t="s">
        <v>212</v>
      </c>
      <c r="B16" s="12" t="n">
        <v>0.4</v>
      </c>
      <c r="C16" s="12" t="n">
        <v>0.25</v>
      </c>
      <c r="D16" s="2" t="s">
        <v>213</v>
      </c>
    </row>
    <row r="17" customFormat="false" ht="15" hidden="false" customHeight="false" outlineLevel="0" collapsed="false">
      <c r="A17" s="2" t="s">
        <v>214</v>
      </c>
      <c r="B17" s="12" t="n">
        <v>0.45</v>
      </c>
      <c r="C17" s="12" t="n">
        <v>0.3</v>
      </c>
      <c r="D17" s="2" t="s">
        <v>215</v>
      </c>
    </row>
    <row r="18" customFormat="false" ht="15" hidden="false" customHeight="false" outlineLevel="0" collapsed="false">
      <c r="A18" s="2" t="s">
        <v>216</v>
      </c>
      <c r="B18" s="12" t="n">
        <v>0.5</v>
      </c>
      <c r="C18" s="12" t="n">
        <v>0.35</v>
      </c>
      <c r="D18" s="2" t="s">
        <v>217</v>
      </c>
    </row>
    <row r="20" customFormat="false" ht="23.85" hidden="false" customHeight="false" outlineLevel="0" collapsed="false">
      <c r="A20" s="33" t="s">
        <v>218</v>
      </c>
    </row>
    <row r="21" customFormat="false" ht="23.85" hidden="false" customHeight="false" outlineLevel="0" collapsed="false">
      <c r="A21" s="33" t="s">
        <v>219</v>
      </c>
    </row>
    <row r="22" customFormat="false" ht="35.05" hidden="false" customHeight="false" outlineLevel="0" collapsed="false">
      <c r="A22" s="33" t="s">
        <v>220</v>
      </c>
    </row>
    <row r="23" customFormat="false" ht="23.85" hidden="false" customHeight="false" outlineLevel="0" collapsed="false">
      <c r="A23" s="33" t="s">
        <v>221</v>
      </c>
    </row>
    <row r="24" customFormat="false" ht="23.85" hidden="false" customHeight="false" outlineLevel="0" collapsed="false">
      <c r="A24" s="33" t="s">
        <v>222</v>
      </c>
    </row>
    <row r="25" customFormat="false" ht="46.25" hidden="false" customHeight="false" outlineLevel="0" collapsed="false">
      <c r="A25" s="33" t="s">
        <v>223</v>
      </c>
    </row>
    <row r="26" customFormat="false" ht="35.05" hidden="false" customHeight="false" outlineLevel="0" collapsed="false">
      <c r="A26" s="33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225</v>
      </c>
    </row>
    <row r="3" customFormat="false" ht="15" hidden="false" customHeight="false" outlineLevel="0" collapsed="false">
      <c r="B3" s="21" t="s">
        <v>143</v>
      </c>
      <c r="C3" s="21" t="s">
        <v>144</v>
      </c>
      <c r="D3" s="21" t="s">
        <v>145</v>
      </c>
      <c r="E3" s="21" t="s">
        <v>146</v>
      </c>
      <c r="F3" s="21" t="s">
        <v>147</v>
      </c>
    </row>
    <row r="4" customFormat="false" ht="15" hidden="false" customHeight="false" outlineLevel="0" collapsed="false">
      <c r="A4" s="6" t="s">
        <v>226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2" t="s">
        <v>227</v>
      </c>
      <c r="B5" s="25" t="n">
        <f aca="false">1</f>
        <v>1</v>
      </c>
      <c r="C5" s="25" t="n">
        <f aca="false">1</f>
        <v>1</v>
      </c>
      <c r="D5" s="25" t="n">
        <f aca="false">1</f>
        <v>1</v>
      </c>
      <c r="E5" s="25" t="n">
        <f aca="false">1</f>
        <v>1</v>
      </c>
      <c r="F5" s="25" t="n">
        <f aca="false">1</f>
        <v>1</v>
      </c>
    </row>
    <row r="6" customFormat="false" ht="15" hidden="false" customHeight="false" outlineLevel="0" collapsed="false">
      <c r="A6" s="2" t="s">
        <v>228</v>
      </c>
      <c r="B6" s="24" t="n">
        <f aca="false">Funnels!B12</f>
        <v>0</v>
      </c>
      <c r="C6" s="24" t="n">
        <f aca="false">Funnels!C12</f>
        <v>1</v>
      </c>
      <c r="D6" s="24" t="n">
        <f aca="false">Funnels!D12</f>
        <v>2</v>
      </c>
      <c r="E6" s="24" t="n">
        <f aca="false">Funnels!E12</f>
        <v>4</v>
      </c>
      <c r="F6" s="24" t="n">
        <f aca="false">Funnels!F12</f>
        <v>6</v>
      </c>
    </row>
    <row r="7" customFormat="false" ht="15" hidden="false" customHeight="false" outlineLevel="0" collapsed="false">
      <c r="A7" s="2" t="s">
        <v>229</v>
      </c>
      <c r="B7" s="24" t="n">
        <f aca="false">IF(1&gt;=Assumptions!$E$53,1,0)</f>
        <v>0</v>
      </c>
      <c r="C7" s="24" t="n">
        <f aca="false">IF(2&gt;=Assumptions!$E$53,1,0)</f>
        <v>0</v>
      </c>
      <c r="D7" s="24" t="n">
        <f aca="false">IF(3&gt;=Assumptions!$E$53,1,0)</f>
        <v>1</v>
      </c>
      <c r="E7" s="24" t="n">
        <f aca="false">IF(4&gt;=Assumptions!$E$53,1,0)</f>
        <v>1</v>
      </c>
      <c r="F7" s="24" t="n">
        <f aca="false">IF(5&gt;=Assumptions!$E$53,1,0)</f>
        <v>1</v>
      </c>
    </row>
    <row r="8" customFormat="false" ht="15" hidden="false" customHeight="false" outlineLevel="0" collapsed="false">
      <c r="A8" s="3" t="s">
        <v>230</v>
      </c>
      <c r="B8" s="9" t="n">
        <f aca="false">SUM(B5:B7)</f>
        <v>1</v>
      </c>
      <c r="C8" s="9" t="n">
        <f aca="false">SUM(C5:C7)</f>
        <v>2</v>
      </c>
      <c r="D8" s="9" t="n">
        <f aca="false">SUM(D5:D7)</f>
        <v>4</v>
      </c>
      <c r="E8" s="9" t="n">
        <f aca="false">SUM(E5:E7)</f>
        <v>6</v>
      </c>
      <c r="F8" s="9" t="n">
        <f aca="false">SUM(F5:F7)</f>
        <v>8</v>
      </c>
    </row>
    <row r="9" customFormat="false" ht="15" hidden="false" customHeight="false" outlineLevel="0" collapsed="false">
      <c r="A9" s="6" t="s">
        <v>231</v>
      </c>
      <c r="B9" s="7"/>
      <c r="C9" s="7"/>
      <c r="D9" s="7"/>
      <c r="E9" s="7"/>
      <c r="F9" s="7"/>
    </row>
    <row r="10" customFormat="false" ht="15" hidden="false" customHeight="false" outlineLevel="0" collapsed="false">
      <c r="A10" s="2" t="s">
        <v>232</v>
      </c>
      <c r="B10" s="22" t="n">
        <f aca="false">Assumptions!$E$49*(1+Assumptions!$E$50)^0</f>
        <v>96000</v>
      </c>
      <c r="C10" s="22" t="n">
        <f aca="false">Assumptions!$E$49*(1+Assumptions!$E$50)^1</f>
        <v>105600</v>
      </c>
      <c r="D10" s="22" t="n">
        <f aca="false">Assumptions!$E$49*(1+Assumptions!$E$50)^2</f>
        <v>116160</v>
      </c>
      <c r="E10" s="22" t="n">
        <f aca="false">Assumptions!$E$49*(1+Assumptions!$E$50)^3</f>
        <v>127776</v>
      </c>
      <c r="F10" s="22" t="n">
        <f aca="false">Assumptions!$E$49*(1+Assumptions!$E$50)^4</f>
        <v>140553.6</v>
      </c>
    </row>
    <row r="11" customFormat="false" ht="15" hidden="false" customHeight="false" outlineLevel="0" collapsed="false">
      <c r="A11" s="2" t="s">
        <v>233</v>
      </c>
      <c r="B11" s="22" t="n">
        <f aca="false">B6*Assumptions!$E$52</f>
        <v>0</v>
      </c>
      <c r="C11" s="22" t="n">
        <f aca="false">MAX(0,C6-B6)*Assumptions!$E$52</f>
        <v>12000</v>
      </c>
      <c r="D11" s="22" t="n">
        <f aca="false">MAX(0,D6-C6)*Assumptions!$E$52</f>
        <v>12000</v>
      </c>
      <c r="E11" s="22" t="n">
        <f aca="false">MAX(0,E6-D6)*Assumptions!$E$52</f>
        <v>24000</v>
      </c>
      <c r="F11" s="22" t="n">
        <f aca="false">MAX(0,F6-E6)*Assumptions!$E$52</f>
        <v>24000</v>
      </c>
    </row>
    <row r="12" customFormat="false" ht="15" hidden="false" customHeight="false" outlineLevel="0" collapsed="false">
      <c r="A12" s="2" t="s">
        <v>234</v>
      </c>
      <c r="B12" s="22" t="n">
        <f aca="false">IF(1&gt;=Assumptions!$E$53,Assumptions!$E$54*(1+Assumptions!$E$50)^(1-Assumptions!$E$53),0)</f>
        <v>0</v>
      </c>
      <c r="C12" s="22" t="n">
        <f aca="false">IF(2&gt;=Assumptions!$E$53,Assumptions!$E$54*(1+Assumptions!$E$50)^(2-Assumptions!$E$53),0)</f>
        <v>0</v>
      </c>
      <c r="D12" s="22" t="n">
        <f aca="false">IF(3&gt;=Assumptions!$E$53,Assumptions!$E$54*(1+Assumptions!$E$50)^(3-Assumptions!$E$53),0)</f>
        <v>75000</v>
      </c>
      <c r="E12" s="22" t="n">
        <f aca="false">IF(4&gt;=Assumptions!$E$53,Assumptions!$E$54*(1+Assumptions!$E$50)^(4-Assumptions!$E$53),0)</f>
        <v>82500</v>
      </c>
      <c r="F12" s="22" t="n">
        <f aca="false">IF(5&gt;=Assumptions!$E$53,Assumptions!$E$54*(1+Assumptions!$E$50)^(5-Assumptions!$E$53),0)</f>
        <v>90750</v>
      </c>
    </row>
    <row r="13" customFormat="false" ht="15" hidden="false" customHeight="false" outlineLevel="0" collapsed="false">
      <c r="A13" s="2" t="s">
        <v>235</v>
      </c>
      <c r="B13" s="32" t="n">
        <f aca="false">B10+B12</f>
        <v>96000</v>
      </c>
      <c r="C13" s="32" t="n">
        <f aca="false">C10+C12</f>
        <v>105600</v>
      </c>
      <c r="D13" s="32" t="n">
        <f aca="false">D10+D12</f>
        <v>191160</v>
      </c>
      <c r="E13" s="32" t="n">
        <f aca="false">E10+E12</f>
        <v>210276</v>
      </c>
      <c r="F13" s="32" t="n">
        <f aca="false">F10+F12</f>
        <v>231303.6</v>
      </c>
    </row>
    <row r="14" customFormat="false" ht="15" hidden="false" customHeight="false" outlineLevel="0" collapsed="false">
      <c r="A14" s="3" t="s">
        <v>236</v>
      </c>
      <c r="B14" s="20" t="n">
        <f aca="false">B13*(1+Assumptions!$E$55)+B11</f>
        <v>110400</v>
      </c>
      <c r="C14" s="20" t="n">
        <f aca="false">C13*(1+Assumptions!$E$55)+C11</f>
        <v>133440</v>
      </c>
      <c r="D14" s="20" t="n">
        <f aca="false">D13*(1+Assumptions!$E$55)+D11</f>
        <v>231834</v>
      </c>
      <c r="E14" s="20" t="n">
        <f aca="false">E13*(1+Assumptions!$E$55)+E11</f>
        <v>265817.4</v>
      </c>
      <c r="F14" s="20" t="n">
        <f aca="false">F13*(1+Assumptions!$E$55)+F11</f>
        <v>289999.14</v>
      </c>
    </row>
    <row r="15" customFormat="false" ht="15" hidden="false" customHeight="false" outlineLevel="0" collapsed="false">
      <c r="A15" s="6" t="s">
        <v>237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2" t="s">
        <v>99</v>
      </c>
      <c r="B16" s="22" t="n">
        <f aca="false">Assumptions!$E$60*(1+Assumptions!$E$66)^0</f>
        <v>18000</v>
      </c>
      <c r="C16" s="22" t="n">
        <f aca="false">Assumptions!$E$60*(1+Assumptions!$E$66)^1</f>
        <v>20700</v>
      </c>
      <c r="D16" s="22" t="n">
        <f aca="false">Assumptions!$E$60*(1+Assumptions!$E$66)^2</f>
        <v>23805</v>
      </c>
      <c r="E16" s="22" t="n">
        <f aca="false">Assumptions!$E$60*(1+Assumptions!$E$66)^3</f>
        <v>27375.75</v>
      </c>
      <c r="F16" s="22" t="n">
        <f aca="false">Assumptions!$E$60*(1+Assumptions!$E$66)^4</f>
        <v>31482.1125</v>
      </c>
    </row>
    <row r="17" customFormat="false" ht="15" hidden="false" customHeight="false" outlineLevel="0" collapsed="false">
      <c r="A17" s="2" t="s">
        <v>238</v>
      </c>
      <c r="B17" s="22" t="n">
        <f aca="false">Assumptions!$E$61*(1+Assumptions!$E$66)^0</f>
        <v>36000</v>
      </c>
      <c r="C17" s="22" t="n">
        <f aca="false">Assumptions!$E$61*(1+Assumptions!$E$66)^1</f>
        <v>41400</v>
      </c>
      <c r="D17" s="22" t="n">
        <f aca="false">Assumptions!$E$61*(1+Assumptions!$E$66)^2</f>
        <v>47610</v>
      </c>
      <c r="E17" s="22" t="n">
        <f aca="false">Assumptions!$E$61*(1+Assumptions!$E$66)^3</f>
        <v>54751.5</v>
      </c>
      <c r="F17" s="22" t="n">
        <f aca="false">Assumptions!$E$61*(1+Assumptions!$E$66)^4</f>
        <v>62964.225</v>
      </c>
    </row>
    <row r="18" customFormat="false" ht="15" hidden="false" customHeight="false" outlineLevel="0" collapsed="false">
      <c r="A18" s="2" t="s">
        <v>101</v>
      </c>
      <c r="B18" s="22" t="n">
        <f aca="false">Assumptions!$E$62*(1+Assumptions!$E$66)^0</f>
        <v>24000</v>
      </c>
      <c r="C18" s="22" t="n">
        <f aca="false">Assumptions!$E$62*(1+Assumptions!$E$66)^1</f>
        <v>27600</v>
      </c>
      <c r="D18" s="22" t="n">
        <f aca="false">Assumptions!$E$62*(1+Assumptions!$E$66)^2</f>
        <v>31740</v>
      </c>
      <c r="E18" s="22" t="n">
        <f aca="false">Assumptions!$E$62*(1+Assumptions!$E$66)^3</f>
        <v>36501</v>
      </c>
      <c r="F18" s="22" t="n">
        <f aca="false">Assumptions!$E$62*(1+Assumptions!$E$66)^4</f>
        <v>41976.15</v>
      </c>
    </row>
    <row r="19" customFormat="false" ht="15" hidden="false" customHeight="false" outlineLevel="0" collapsed="false">
      <c r="A19" s="2" t="s">
        <v>102</v>
      </c>
      <c r="B19" s="22" t="n">
        <f aca="false">Assumptions!$E$63*(1+Assumptions!$E$66)^0</f>
        <v>30000</v>
      </c>
      <c r="C19" s="22" t="n">
        <f aca="false">Assumptions!$E$63*(1+Assumptions!$E$66)^1</f>
        <v>34500</v>
      </c>
      <c r="D19" s="22" t="n">
        <f aca="false">Assumptions!$E$63*(1+Assumptions!$E$66)^2</f>
        <v>39675</v>
      </c>
      <c r="E19" s="22" t="n">
        <f aca="false">Assumptions!$E$63*(1+Assumptions!$E$66)^3</f>
        <v>45626.25</v>
      </c>
      <c r="F19" s="22" t="n">
        <f aca="false">Assumptions!$E$63*(1+Assumptions!$E$66)^4</f>
        <v>52470.1875</v>
      </c>
    </row>
    <row r="20" customFormat="false" ht="15" hidden="false" customHeight="false" outlineLevel="0" collapsed="false">
      <c r="A20" s="2" t="s">
        <v>103</v>
      </c>
      <c r="B20" s="22" t="n">
        <f aca="false">Assumptions!$E$64*(1+Assumptions!$E$66)^0</f>
        <v>15000</v>
      </c>
      <c r="C20" s="22" t="n">
        <f aca="false">Assumptions!$E$64*(1+Assumptions!$E$66)^1</f>
        <v>17250</v>
      </c>
      <c r="D20" s="22" t="n">
        <f aca="false">Assumptions!$E$64*(1+Assumptions!$E$66)^2</f>
        <v>19837.5</v>
      </c>
      <c r="E20" s="22" t="n">
        <f aca="false">Assumptions!$E$64*(1+Assumptions!$E$66)^3</f>
        <v>22813.125</v>
      </c>
      <c r="F20" s="22" t="n">
        <f aca="false">Assumptions!$E$64*(1+Assumptions!$E$66)^4</f>
        <v>26235.09375</v>
      </c>
    </row>
    <row r="21" customFormat="false" ht="15" hidden="false" customHeight="false" outlineLevel="0" collapsed="false">
      <c r="A21" s="2" t="s">
        <v>104</v>
      </c>
      <c r="B21" s="22" t="n">
        <f aca="false">Assumptions!$E$65*(1+Assumptions!$E$66)^0</f>
        <v>6000</v>
      </c>
      <c r="C21" s="22" t="n">
        <f aca="false">Assumptions!$E$65*(1+Assumptions!$E$66)^1</f>
        <v>6900</v>
      </c>
      <c r="D21" s="22" t="n">
        <f aca="false">Assumptions!$E$65*(1+Assumptions!$E$66)^2</f>
        <v>7935</v>
      </c>
      <c r="E21" s="22" t="n">
        <f aca="false">Assumptions!$E$65*(1+Assumptions!$E$66)^3</f>
        <v>9125.25</v>
      </c>
      <c r="F21" s="22" t="n">
        <f aca="false">Assumptions!$E$65*(1+Assumptions!$E$66)^4</f>
        <v>10494.0375</v>
      </c>
    </row>
    <row r="22" customFormat="false" ht="15" hidden="false" customHeight="false" outlineLevel="0" collapsed="false">
      <c r="A22" s="3" t="s">
        <v>239</v>
      </c>
      <c r="B22" s="19" t="n">
        <f aca="false">SUM(B16:B21)</f>
        <v>129000</v>
      </c>
      <c r="C22" s="19" t="n">
        <f aca="false">SUM(C16:C21)</f>
        <v>148350</v>
      </c>
      <c r="D22" s="19" t="n">
        <f aca="false">SUM(D16:D21)</f>
        <v>170602.5</v>
      </c>
      <c r="E22" s="19" t="n">
        <f aca="false">SUM(E16:E21)</f>
        <v>196192.875</v>
      </c>
      <c r="F22" s="19" t="n">
        <f aca="false">SUM(F16:F21)</f>
        <v>225621.80625</v>
      </c>
    </row>
    <row r="23" customFormat="false" ht="15" hidden="false" customHeight="false" outlineLevel="0" collapsed="false">
      <c r="A23" s="6" t="s">
        <v>240</v>
      </c>
      <c r="B23" s="7"/>
      <c r="C23" s="7"/>
      <c r="D23" s="7"/>
      <c r="E23" s="7"/>
      <c r="F23" s="7"/>
    </row>
    <row r="24" customFormat="false" ht="15" hidden="false" customHeight="false" outlineLevel="0" collapsed="false">
      <c r="A24" s="3" t="s">
        <v>241</v>
      </c>
      <c r="B24" s="19" t="n">
        <f aca="false">B14+B22</f>
        <v>239400</v>
      </c>
      <c r="C24" s="19" t="n">
        <f aca="false">C14+C22</f>
        <v>281790</v>
      </c>
      <c r="D24" s="19" t="n">
        <f aca="false">D14+D22</f>
        <v>402436.5</v>
      </c>
      <c r="E24" s="19" t="n">
        <f aca="false">E14+E22</f>
        <v>462010.275</v>
      </c>
      <c r="F24" s="19" t="n">
        <f aca="false">F14+F22</f>
        <v>515620.94625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242</v>
      </c>
    </row>
    <row r="3" customFormat="false" ht="15" hidden="false" customHeight="false" outlineLevel="0" collapsed="false">
      <c r="A3" s="6" t="s">
        <v>243</v>
      </c>
      <c r="B3" s="6" t="s">
        <v>244</v>
      </c>
      <c r="C3" s="6" t="s">
        <v>33</v>
      </c>
    </row>
    <row r="4" customFormat="false" ht="15" hidden="false" customHeight="false" outlineLevel="0" collapsed="false">
      <c r="A4" s="2" t="s">
        <v>245</v>
      </c>
      <c r="B4" s="18" t="n">
        <v>12000</v>
      </c>
      <c r="C4" s="2" t="s">
        <v>246</v>
      </c>
    </row>
    <row r="5" customFormat="false" ht="15" hidden="false" customHeight="false" outlineLevel="0" collapsed="false">
      <c r="A5" s="2" t="s">
        <v>247</v>
      </c>
      <c r="B5" s="18" t="n">
        <v>4000</v>
      </c>
      <c r="C5" s="2"/>
    </row>
    <row r="6" customFormat="false" ht="15" hidden="false" customHeight="false" outlineLevel="0" collapsed="false">
      <c r="A6" s="2" t="s">
        <v>248</v>
      </c>
      <c r="B6" s="18" t="n">
        <v>4000</v>
      </c>
      <c r="C6" s="2" t="s">
        <v>249</v>
      </c>
    </row>
    <row r="7" customFormat="false" ht="15" hidden="false" customHeight="false" outlineLevel="0" collapsed="false">
      <c r="A7" s="2" t="s">
        <v>250</v>
      </c>
      <c r="B7" s="18" t="n">
        <v>3000</v>
      </c>
      <c r="C7" s="2"/>
    </row>
    <row r="8" customFormat="false" ht="15" hidden="false" customHeight="false" outlineLevel="0" collapsed="false">
      <c r="A8" s="2" t="s">
        <v>251</v>
      </c>
      <c r="B8" s="18" t="n">
        <v>5000</v>
      </c>
      <c r="C8" s="2"/>
    </row>
    <row r="9" customFormat="false" ht="15" hidden="false" customHeight="false" outlineLevel="0" collapsed="false">
      <c r="A9" s="2" t="s">
        <v>252</v>
      </c>
      <c r="B9" s="18" t="n">
        <v>15000</v>
      </c>
      <c r="C9" s="2"/>
    </row>
    <row r="10" customFormat="false" ht="15" hidden="false" customHeight="false" outlineLevel="0" collapsed="false">
      <c r="A10" s="3" t="s">
        <v>253</v>
      </c>
      <c r="B10" s="19" t="n">
        <f aca="false">SUM(B4:B9)</f>
        <v>43000</v>
      </c>
    </row>
    <row r="12" customFormat="false" ht="15" hidden="false" customHeight="false" outlineLevel="0" collapsed="false">
      <c r="A12" s="2" t="s">
        <v>114</v>
      </c>
      <c r="B12" s="22" t="n">
        <f aca="false">Assumptions!$E$72</f>
        <v>100000</v>
      </c>
    </row>
    <row r="13" customFormat="false" ht="15" hidden="false" customHeight="false" outlineLevel="0" collapsed="false">
      <c r="A13" s="3" t="s">
        <v>254</v>
      </c>
      <c r="B13" s="19" t="n">
        <f aca="false">B12-B10</f>
        <v>57000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255</v>
      </c>
    </row>
    <row r="3" customFormat="false" ht="15" hidden="false" customHeight="false" outlineLevel="0" collapsed="false">
      <c r="B3" s="21" t="s">
        <v>143</v>
      </c>
      <c r="C3" s="21" t="s">
        <v>144</v>
      </c>
      <c r="D3" s="21" t="s">
        <v>145</v>
      </c>
      <c r="E3" s="21" t="s">
        <v>146</v>
      </c>
      <c r="F3" s="21" t="s">
        <v>147</v>
      </c>
    </row>
    <row r="4" customFormat="false" ht="15" hidden="false" customHeight="false" outlineLevel="0" collapsed="false">
      <c r="A4" s="6" t="s">
        <v>256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3" t="s">
        <v>257</v>
      </c>
      <c r="B5" s="20" t="n">
        <f aca="false">Revenue!B18</f>
        <v>1059520</v>
      </c>
      <c r="C5" s="20" t="n">
        <f aca="false">Revenue!C18</f>
        <v>2473016</v>
      </c>
      <c r="D5" s="20" t="n">
        <f aca="false">Revenue!D18</f>
        <v>4756488</v>
      </c>
      <c r="E5" s="20" t="n">
        <f aca="false">Revenue!E18</f>
        <v>7737936</v>
      </c>
      <c r="F5" s="20" t="n">
        <f aca="false">Revenue!F18</f>
        <v>11217840</v>
      </c>
    </row>
    <row r="6" customFormat="false" ht="15" hidden="false" customHeight="false" outlineLevel="0" collapsed="false">
      <c r="A6" s="6" t="s">
        <v>258</v>
      </c>
      <c r="B6" s="7"/>
      <c r="C6" s="7"/>
      <c r="D6" s="7"/>
      <c r="E6" s="7"/>
      <c r="F6" s="7"/>
    </row>
    <row r="7" customFormat="false" ht="15" hidden="false" customHeight="false" outlineLevel="0" collapsed="false">
      <c r="A7" s="2" t="s">
        <v>259</v>
      </c>
      <c r="B7" s="22" t="n">
        <f aca="false">Revenue!B22*Assumptions!$E$58</f>
        <v>100310.4</v>
      </c>
      <c r="C7" s="22" t="n">
        <f aca="false">Revenue!C22*Assumptions!$E$58</f>
        <v>300931.2</v>
      </c>
      <c r="D7" s="22" t="n">
        <f aca="false">Revenue!D22*Assumptions!$E$58</f>
        <v>601862.4</v>
      </c>
      <c r="E7" s="22" t="n">
        <f aca="false">Revenue!E22*Assumptions!$E$58</f>
        <v>1003104</v>
      </c>
      <c r="F7" s="22" t="n">
        <f aca="false">Revenue!F22*Assumptions!$E$58</f>
        <v>1404345.6</v>
      </c>
    </row>
    <row r="8" customFormat="false" ht="15" hidden="false" customHeight="false" outlineLevel="0" collapsed="false">
      <c r="A8" s="2" t="s">
        <v>260</v>
      </c>
      <c r="B8" s="22" t="n">
        <f aca="false">Revenue!B23*Assumptions!$E$57</f>
        <v>0</v>
      </c>
      <c r="C8" s="22" t="n">
        <f aca="false">Revenue!C23*Assumptions!$E$57</f>
        <v>209351.52</v>
      </c>
      <c r="D8" s="22" t="n">
        <f aca="false">Revenue!D23*Assumptions!$E$57</f>
        <v>628054.56</v>
      </c>
      <c r="E8" s="22" t="n">
        <f aca="false">Revenue!E23*Assumptions!$E$57</f>
        <v>1256109.12</v>
      </c>
      <c r="F8" s="22" t="n">
        <f aca="false">Revenue!F23*Assumptions!$E$57</f>
        <v>2093515.2</v>
      </c>
    </row>
    <row r="9" customFormat="false" ht="15" hidden="false" customHeight="false" outlineLevel="0" collapsed="false">
      <c r="A9" s="3" t="s">
        <v>261</v>
      </c>
      <c r="B9" s="19" t="n">
        <f aca="false">B7+B8</f>
        <v>100310.4</v>
      </c>
      <c r="C9" s="19" t="n">
        <f aca="false">C7+C8</f>
        <v>510282.72</v>
      </c>
      <c r="D9" s="19" t="n">
        <f aca="false">D7+D8</f>
        <v>1229916.96</v>
      </c>
      <c r="E9" s="19" t="n">
        <f aca="false">E7+E8</f>
        <v>2259213.12</v>
      </c>
      <c r="F9" s="19" t="n">
        <f aca="false">F7+F8</f>
        <v>3497860.8</v>
      </c>
    </row>
    <row r="10" customFormat="false" ht="15" hidden="false" customHeight="false" outlineLevel="0" collapsed="false">
      <c r="A10" s="2" t="s">
        <v>262</v>
      </c>
      <c r="B10" s="29" t="n">
        <f aca="false">B9/B5</f>
        <v>0.0946753246753247</v>
      </c>
      <c r="C10" s="29" t="n">
        <f aca="false">C9/C5</f>
        <v>0.206340242036445</v>
      </c>
      <c r="D10" s="29" t="n">
        <f aca="false">D9/D5</f>
        <v>0.258576697765242</v>
      </c>
      <c r="E10" s="29" t="n">
        <f aca="false">E9/E5</f>
        <v>0.291965857562017</v>
      </c>
      <c r="F10" s="29" t="n">
        <f aca="false">F9/F5</f>
        <v>0.3118123275069</v>
      </c>
    </row>
    <row r="11" customFormat="false" ht="15" hidden="false" customHeight="false" outlineLevel="0" collapsed="false">
      <c r="A11" s="6" t="s">
        <v>263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3" t="s">
        <v>264</v>
      </c>
      <c r="B12" s="19" t="n">
        <f aca="false">B5-B9</f>
        <v>959209.6</v>
      </c>
      <c r="C12" s="19" t="n">
        <f aca="false">C5-C9</f>
        <v>1962733.28</v>
      </c>
      <c r="D12" s="19" t="n">
        <f aca="false">D5-D9</f>
        <v>3526571.04</v>
      </c>
      <c r="E12" s="19" t="n">
        <f aca="false">E5-E9</f>
        <v>5478722.88</v>
      </c>
      <c r="F12" s="19" t="n">
        <f aca="false">F5-F9</f>
        <v>7719979.2</v>
      </c>
    </row>
    <row r="13" customFormat="false" ht="15" hidden="false" customHeight="false" outlineLevel="0" collapsed="false">
      <c r="A13" s="2" t="s">
        <v>265</v>
      </c>
      <c r="B13" s="29" t="n">
        <f aca="false">B12/B5</f>
        <v>0.905324675324675</v>
      </c>
      <c r="C13" s="29" t="n">
        <f aca="false">C12/C5</f>
        <v>0.793659757963556</v>
      </c>
      <c r="D13" s="29" t="n">
        <f aca="false">D12/D5</f>
        <v>0.741423302234758</v>
      </c>
      <c r="E13" s="29" t="n">
        <f aca="false">E12/E5</f>
        <v>0.708034142437984</v>
      </c>
      <c r="F13" s="29" t="n">
        <f aca="false">F12/F5</f>
        <v>0.6881876724931</v>
      </c>
    </row>
    <row r="14" customFormat="false" ht="15" hidden="false" customHeight="false" outlineLevel="0" collapsed="false">
      <c r="A14" s="6" t="s">
        <v>266</v>
      </c>
      <c r="B14" s="7"/>
      <c r="C14" s="7"/>
      <c r="D14" s="7"/>
      <c r="E14" s="7"/>
      <c r="F14" s="7"/>
    </row>
    <row r="15" customFormat="false" ht="15" hidden="false" customHeight="false" outlineLevel="0" collapsed="false">
      <c r="A15" s="2" t="s">
        <v>267</v>
      </c>
      <c r="B15" s="22" t="n">
        <f aca="false">'Hiring &amp; Expenses'!B14</f>
        <v>110400</v>
      </c>
      <c r="C15" s="22" t="n">
        <f aca="false">'Hiring &amp; Expenses'!C14</f>
        <v>133440</v>
      </c>
      <c r="D15" s="22" t="n">
        <f aca="false">'Hiring &amp; Expenses'!D14</f>
        <v>231834</v>
      </c>
      <c r="E15" s="22" t="n">
        <f aca="false">'Hiring &amp; Expenses'!E14</f>
        <v>265817.4</v>
      </c>
      <c r="F15" s="22" t="n">
        <f aca="false">'Hiring &amp; Expenses'!F14</f>
        <v>289999.14</v>
      </c>
    </row>
    <row r="16" customFormat="false" ht="15" hidden="false" customHeight="false" outlineLevel="0" collapsed="false">
      <c r="A16" s="2" t="s">
        <v>268</v>
      </c>
      <c r="B16" s="22" t="n">
        <f aca="false">'Hiring &amp; Expenses'!B22</f>
        <v>129000</v>
      </c>
      <c r="C16" s="22" t="n">
        <f aca="false">'Hiring &amp; Expenses'!C22</f>
        <v>148350</v>
      </c>
      <c r="D16" s="22" t="n">
        <f aca="false">'Hiring &amp; Expenses'!D22</f>
        <v>170602.5</v>
      </c>
      <c r="E16" s="22" t="n">
        <f aca="false">'Hiring &amp; Expenses'!E22</f>
        <v>196192.875</v>
      </c>
      <c r="F16" s="22" t="n">
        <f aca="false">'Hiring &amp; Expenses'!F22</f>
        <v>225621.80625</v>
      </c>
    </row>
    <row r="17" customFormat="false" ht="15" hidden="false" customHeight="false" outlineLevel="0" collapsed="false">
      <c r="A17" s="3" t="s">
        <v>269</v>
      </c>
      <c r="B17" s="19" t="n">
        <f aca="false">B15+B16</f>
        <v>239400</v>
      </c>
      <c r="C17" s="19" t="n">
        <f aca="false">C15+C16</f>
        <v>281790</v>
      </c>
      <c r="D17" s="19" t="n">
        <f aca="false">D15+D16</f>
        <v>402436.5</v>
      </c>
      <c r="E17" s="19" t="n">
        <f aca="false">E15+E16</f>
        <v>462010.275</v>
      </c>
      <c r="F17" s="19" t="n">
        <f aca="false">F15+F16</f>
        <v>515620.94625</v>
      </c>
    </row>
    <row r="18" customFormat="false" ht="15" hidden="false" customHeight="false" outlineLevel="0" collapsed="false">
      <c r="A18" s="6" t="s">
        <v>270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" t="s">
        <v>271</v>
      </c>
      <c r="B19" s="19" t="n">
        <f aca="false">B12-B17</f>
        <v>719809.6</v>
      </c>
      <c r="C19" s="19" t="n">
        <f aca="false">C12-C17</f>
        <v>1680943.28</v>
      </c>
      <c r="D19" s="19" t="n">
        <f aca="false">D12-D17</f>
        <v>3124134.54</v>
      </c>
      <c r="E19" s="19" t="n">
        <f aca="false">E12-E17</f>
        <v>5016712.605</v>
      </c>
      <c r="F19" s="19" t="n">
        <f aca="false">F12-F17</f>
        <v>7204358.25375</v>
      </c>
    </row>
    <row r="20" customFormat="false" ht="15" hidden="false" customHeight="false" outlineLevel="0" collapsed="false">
      <c r="A20" s="3" t="s">
        <v>272</v>
      </c>
      <c r="B20" s="13" t="n">
        <f aca="false">B19/B5</f>
        <v>0.679373301117487</v>
      </c>
      <c r="C20" s="13" t="n">
        <f aca="false">C19/C5</f>
        <v>0.679713871644987</v>
      </c>
      <c r="D20" s="13" t="n">
        <f aca="false">D19/D5</f>
        <v>0.656815394047036</v>
      </c>
      <c r="E20" s="13" t="n">
        <f aca="false">E19/E5</f>
        <v>0.648326970525473</v>
      </c>
      <c r="F20" s="13" t="n">
        <f aca="false">F19/F5</f>
        <v>0.642223302681265</v>
      </c>
    </row>
    <row r="21" customFormat="false" ht="15" hidden="false" customHeight="false" outlineLevel="0" collapsed="false">
      <c r="A21" s="6" t="s">
        <v>273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A22" s="2" t="s">
        <v>274</v>
      </c>
      <c r="B22" s="22" t="n">
        <f aca="false">Revenue!B19*(1-B10)</f>
        <v>155715.844155844</v>
      </c>
      <c r="C22" s="22" t="n">
        <f aca="false">Revenue!C19*(1-C10)</f>
        <v>136509.478369732</v>
      </c>
      <c r="D22" s="22" t="n">
        <f aca="false">Revenue!D19*(1-D10)</f>
        <v>127524.807984378</v>
      </c>
      <c r="E22" s="22" t="n">
        <f aca="false">Revenue!E19*(1-E10)</f>
        <v>121781.872499333</v>
      </c>
      <c r="F22" s="22" t="n">
        <f aca="false">Revenue!F19*(1-F10)</f>
        <v>118368.279668813</v>
      </c>
    </row>
    <row r="23" customFormat="false" ht="15" hidden="false" customHeight="false" outlineLevel="0" collapsed="false">
      <c r="A23" s="3" t="s">
        <v>275</v>
      </c>
      <c r="B23" s="17" t="n">
        <f aca="false">B17/B22</f>
        <v>1.53741580568001</v>
      </c>
      <c r="C23" s="17" t="n">
        <f aca="false">C17/C22</f>
        <v>2.06425226559566</v>
      </c>
      <c r="D23" s="17" t="n">
        <f aca="false">D17/D22</f>
        <v>3.15575068381438</v>
      </c>
      <c r="E23" s="17" t="n">
        <f aca="false">E17/E22</f>
        <v>3.79375243226392</v>
      </c>
      <c r="F23" s="17" t="n">
        <f aca="false">F17/F22</f>
        <v>4.35607366849188</v>
      </c>
    </row>
    <row r="24" customFormat="false" ht="15" hidden="false" customHeight="false" outlineLevel="0" collapsed="false">
      <c r="A24" s="2" t="s">
        <v>276</v>
      </c>
      <c r="B24" s="26" t="n">
        <f aca="false">Funnels!B23</f>
        <v>6.16</v>
      </c>
      <c r="C24" s="26" t="n">
        <f aca="false">Funnels!C23</f>
        <v>14.378</v>
      </c>
      <c r="D24" s="26" t="n">
        <f aca="false">Funnels!D23</f>
        <v>27.654</v>
      </c>
      <c r="E24" s="26" t="n">
        <f aca="false">Funnels!E23</f>
        <v>44.988</v>
      </c>
      <c r="F24" s="26" t="n">
        <f aca="false">Funnels!F23</f>
        <v>65.22</v>
      </c>
    </row>
    <row r="25" customFormat="false" ht="15" hidden="false" customHeight="false" outlineLevel="0" collapsed="false">
      <c r="A25" s="2" t="s">
        <v>277</v>
      </c>
      <c r="B25" s="28" t="n">
        <f aca="false">B24-B23</f>
        <v>4.62258419431999</v>
      </c>
      <c r="C25" s="28" t="n">
        <f aca="false">C24-C23</f>
        <v>12.3137477344043</v>
      </c>
      <c r="D25" s="28" t="n">
        <f aca="false">D24-D23</f>
        <v>24.4982493161856</v>
      </c>
      <c r="E25" s="28" t="n">
        <f aca="false">E24-E23</f>
        <v>41.1942475677361</v>
      </c>
      <c r="F25" s="28" t="n">
        <f aca="false">F24-F23</f>
        <v>60.8639263315081</v>
      </c>
    </row>
    <row r="26" customFormat="false" ht="15" hidden="false" customHeight="false" outlineLevel="0" collapsed="false">
      <c r="A26" s="2" t="s">
        <v>278</v>
      </c>
      <c r="B26" s="22" t="n">
        <f aca="false">B23*Revenue!B19</f>
        <v>264435.518576962</v>
      </c>
      <c r="C26" s="22" t="n">
        <f aca="false">C23*Revenue!C19</f>
        <v>355051.389682453</v>
      </c>
      <c r="D26" s="22" t="n">
        <f aca="false">D23*Revenue!D19</f>
        <v>542789.117616074</v>
      </c>
      <c r="E26" s="22" t="n">
        <f aca="false">E23*Revenue!E19</f>
        <v>652525.418349395</v>
      </c>
      <c r="F26" s="22" t="n">
        <f aca="false">F23*Revenue!F19</f>
        <v>749244.670980603</v>
      </c>
    </row>
    <row r="27" customFormat="false" ht="15" hidden="false" customHeight="false" outlineLevel="0" collapsed="false">
      <c r="A27" s="6" t="s">
        <v>279</v>
      </c>
      <c r="B27" s="7"/>
      <c r="C27" s="7"/>
      <c r="D27" s="7"/>
      <c r="E27" s="7"/>
      <c r="F27" s="7"/>
    </row>
    <row r="28" customFormat="false" ht="15" hidden="false" customHeight="false" outlineLevel="0" collapsed="false">
      <c r="A28" s="2" t="s">
        <v>280</v>
      </c>
      <c r="B28" s="12" t="n">
        <v>0.15</v>
      </c>
      <c r="C28" s="12" t="n">
        <v>0.25</v>
      </c>
      <c r="D28" s="12" t="n">
        <v>0.3</v>
      </c>
      <c r="E28" s="12" t="n">
        <v>0.32</v>
      </c>
      <c r="F28" s="12" t="n">
        <v>0.35</v>
      </c>
    </row>
    <row r="29" customFormat="false" ht="15" hidden="false" customHeight="false" outlineLevel="0" collapsed="false">
      <c r="A29" s="2" t="s">
        <v>281</v>
      </c>
      <c r="B29" s="2" t="str">
        <f aca="false">IF(B20&gt;=B28,"YES","NO")</f>
        <v>YES</v>
      </c>
      <c r="C29" s="2" t="str">
        <f aca="false">IF(C20&gt;=C28,"YES","NO")</f>
        <v>YES</v>
      </c>
      <c r="D29" s="2" t="str">
        <f aca="false">IF(D20&gt;=D28,"YES","NO")</f>
        <v>YES</v>
      </c>
      <c r="E29" s="2" t="str">
        <f aca="false">IF(E20&gt;=E28,"YES","NO")</f>
        <v>YES</v>
      </c>
      <c r="F29" s="2" t="str">
        <f aca="false">IF(F20&gt;=F28,"YES","NO")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282</v>
      </c>
    </row>
    <row r="3" customFormat="false" ht="15" hidden="false" customHeight="false" outlineLevel="0" collapsed="false">
      <c r="B3" s="21" t="s">
        <v>143</v>
      </c>
      <c r="C3" s="21" t="s">
        <v>144</v>
      </c>
      <c r="D3" s="21" t="s">
        <v>145</v>
      </c>
      <c r="E3" s="21" t="s">
        <v>146</v>
      </c>
      <c r="F3" s="21" t="s">
        <v>147</v>
      </c>
    </row>
    <row r="4" customFormat="false" ht="15" hidden="false" customHeight="false" outlineLevel="0" collapsed="false">
      <c r="A4" s="6" t="s">
        <v>283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2" t="s">
        <v>284</v>
      </c>
      <c r="B5" s="22" t="n">
        <f aca="false">'Startup Budget'!B13</f>
        <v>57000</v>
      </c>
      <c r="C5" s="32" t="n">
        <f aca="false">B12</f>
        <v>542868.96</v>
      </c>
      <c r="D5" s="32" t="n">
        <f aca="false">C12</f>
        <v>1919497.04601363</v>
      </c>
      <c r="E5" s="32" t="n">
        <f aca="false">D12</f>
        <v>4574381.12339354</v>
      </c>
      <c r="F5" s="32" t="n">
        <f aca="false">E12</f>
        <v>8986773.52170803</v>
      </c>
    </row>
    <row r="6" customFormat="false" ht="15" hidden="false" customHeight="false" outlineLevel="0" collapsed="false">
      <c r="A6" s="2" t="s">
        <v>197</v>
      </c>
      <c r="B6" s="22" t="n">
        <f aca="false">Revenue!B26</f>
        <v>900592</v>
      </c>
      <c r="C6" s="22" t="n">
        <f aca="false">Revenue!C26</f>
        <v>2260991.6</v>
      </c>
      <c r="D6" s="22" t="n">
        <f aca="false">Revenue!D26</f>
        <v>4413967.2</v>
      </c>
      <c r="E6" s="22" t="n">
        <f aca="false">Revenue!E26</f>
        <v>7290718.8</v>
      </c>
      <c r="F6" s="22" t="n">
        <f aca="false">Revenue!F26</f>
        <v>10695854.4</v>
      </c>
    </row>
    <row r="7" customFormat="false" ht="15" hidden="false" customHeight="false" outlineLevel="0" collapsed="false">
      <c r="A7" s="2" t="s">
        <v>285</v>
      </c>
      <c r="B7" s="22" t="n">
        <f aca="false">-B6*'P&amp;L'!B10</f>
        <v>-85263.84</v>
      </c>
      <c r="C7" s="22" t="n">
        <f aca="false">-C6*'P&amp;L'!C10</f>
        <v>-466533.553986368</v>
      </c>
      <c r="D7" s="22" t="n">
        <f aca="false">-D6*'P&amp;L'!D10</f>
        <v>-1141349.06262009</v>
      </c>
      <c r="E7" s="22" t="n">
        <f aca="false">-E6*'P&amp;L'!E10</f>
        <v>-2128640.96668552</v>
      </c>
      <c r="F7" s="22" t="n">
        <f aca="false">-F6*'P&amp;L'!F10</f>
        <v>-3335099.25513891</v>
      </c>
    </row>
    <row r="8" customFormat="false" ht="15" hidden="false" customHeight="false" outlineLevel="0" collapsed="false">
      <c r="A8" s="2" t="s">
        <v>286</v>
      </c>
      <c r="B8" s="22" t="n">
        <f aca="false">-'P&amp;L'!B17</f>
        <v>-239400</v>
      </c>
      <c r="C8" s="22" t="n">
        <f aca="false">-'P&amp;L'!C17</f>
        <v>-281790</v>
      </c>
      <c r="D8" s="22" t="n">
        <f aca="false">-'P&amp;L'!D17</f>
        <v>-402436.5</v>
      </c>
      <c r="E8" s="22" t="n">
        <f aca="false">-'P&amp;L'!E17</f>
        <v>-462010.275</v>
      </c>
      <c r="F8" s="22" t="n">
        <f aca="false">-'P&amp;L'!F17</f>
        <v>-515620.94625</v>
      </c>
    </row>
    <row r="9" customFormat="false" ht="15" hidden="false" customHeight="false" outlineLevel="0" collapsed="false">
      <c r="A9" s="2" t="s">
        <v>287</v>
      </c>
      <c r="B9" s="22" t="n">
        <f aca="false">-B6*Assumptions!$E$69</f>
        <v>-90059.2</v>
      </c>
      <c r="C9" s="22" t="n">
        <f aca="false">-C6*Assumptions!$E$69</f>
        <v>-226099.16</v>
      </c>
      <c r="D9" s="22" t="n">
        <f aca="false">-D6*Assumptions!$E$69</f>
        <v>-441396.72</v>
      </c>
      <c r="E9" s="22" t="n">
        <f aca="false">-E6*Assumptions!$E$69</f>
        <v>-729071.88</v>
      </c>
      <c r="F9" s="22" t="n">
        <f aca="false">-F6*Assumptions!$E$69</f>
        <v>-1069585.44</v>
      </c>
    </row>
    <row r="10" customFormat="false" ht="15" hidden="false" customHeight="false" outlineLevel="0" collapsed="false">
      <c r="A10" s="2" t="s">
        <v>288</v>
      </c>
      <c r="B10" s="32" t="n">
        <f aca="false">0</f>
        <v>0</v>
      </c>
      <c r="C10" s="32" t="n">
        <f aca="false">-B9</f>
        <v>90059.2</v>
      </c>
      <c r="D10" s="32" t="n">
        <f aca="false">-C9</f>
        <v>226099.16</v>
      </c>
      <c r="E10" s="32" t="n">
        <f aca="false">-D9</f>
        <v>441396.72</v>
      </c>
      <c r="F10" s="32" t="n">
        <f aca="false">-E9</f>
        <v>729071.88</v>
      </c>
    </row>
    <row r="11" customFormat="false" ht="15" hidden="false" customHeight="false" outlineLevel="0" collapsed="false">
      <c r="A11" s="3" t="s">
        <v>289</v>
      </c>
      <c r="B11" s="19" t="n">
        <f aca="false">SUM(B6:B10)</f>
        <v>485868.96</v>
      </c>
      <c r="C11" s="19" t="n">
        <f aca="false">SUM(C6:C10)</f>
        <v>1376628.08601363</v>
      </c>
      <c r="D11" s="19" t="n">
        <f aca="false">SUM(D6:D10)</f>
        <v>2654884.07737991</v>
      </c>
      <c r="E11" s="19" t="n">
        <f aca="false">SUM(E6:E10)</f>
        <v>4412392.39831448</v>
      </c>
      <c r="F11" s="19" t="n">
        <f aca="false">SUM(F6:F10)</f>
        <v>6504620.63861109</v>
      </c>
    </row>
    <row r="12" customFormat="false" ht="15" hidden="false" customHeight="false" outlineLevel="0" collapsed="false">
      <c r="A12" s="3" t="s">
        <v>290</v>
      </c>
      <c r="B12" s="19" t="n">
        <f aca="false">B5+B11</f>
        <v>542868.96</v>
      </c>
      <c r="C12" s="19" t="n">
        <f aca="false">C5+C11</f>
        <v>1919497.04601363</v>
      </c>
      <c r="D12" s="19" t="n">
        <f aca="false">D5+D11</f>
        <v>4574381.12339354</v>
      </c>
      <c r="E12" s="19" t="n">
        <f aca="false">E5+E11</f>
        <v>8986773.52170803</v>
      </c>
      <c r="F12" s="19" t="n">
        <f aca="false">F5+F11</f>
        <v>15491394.1603191</v>
      </c>
    </row>
    <row r="13" customFormat="false" ht="15" hidden="false" customHeight="false" outlineLevel="0" collapsed="false">
      <c r="A13" s="2" t="s">
        <v>291</v>
      </c>
      <c r="B13" s="32" t="n">
        <f aca="false">-B9</f>
        <v>90059.2</v>
      </c>
      <c r="C13" s="32" t="n">
        <f aca="false">-C9</f>
        <v>226099.16</v>
      </c>
      <c r="D13" s="32" t="n">
        <f aca="false">-D9</f>
        <v>441396.72</v>
      </c>
      <c r="E13" s="32" t="n">
        <f aca="false">-E9</f>
        <v>729071.88</v>
      </c>
      <c r="F13" s="32" t="n">
        <f aca="false">-F9</f>
        <v>1069585.44</v>
      </c>
    </row>
    <row r="14" customFormat="false" ht="15" hidden="false" customHeight="false" outlineLevel="0" collapsed="false">
      <c r="A14" s="2" t="s">
        <v>292</v>
      </c>
      <c r="B14" s="22" t="n">
        <f aca="false">'P&amp;L'!B17*Assumptions!$E$70/12</f>
        <v>119700</v>
      </c>
      <c r="C14" s="22" t="n">
        <f aca="false">'P&amp;L'!C17*Assumptions!$E$70/12</f>
        <v>140895</v>
      </c>
      <c r="D14" s="22" t="n">
        <f aca="false">'P&amp;L'!D17*Assumptions!$E$70/12</f>
        <v>201218.25</v>
      </c>
      <c r="E14" s="22" t="n">
        <f aca="false">'P&amp;L'!E17*Assumptions!$E$70/12</f>
        <v>231005.1375</v>
      </c>
      <c r="F14" s="22" t="n">
        <f aca="false">'P&amp;L'!F17*Assumptions!$E$70/12</f>
        <v>257810.473125</v>
      </c>
    </row>
    <row r="15" customFormat="false" ht="15" hidden="false" customHeight="false" outlineLevel="0" collapsed="false">
      <c r="A15" s="2" t="s">
        <v>293</v>
      </c>
      <c r="B15" s="32" t="n">
        <f aca="false">B12-B14</f>
        <v>423168.96</v>
      </c>
      <c r="C15" s="32" t="n">
        <f aca="false">C12-C14</f>
        <v>1778602.04601363</v>
      </c>
      <c r="D15" s="32" t="n">
        <f aca="false">D12-D14</f>
        <v>4373162.87339354</v>
      </c>
      <c r="E15" s="32" t="n">
        <f aca="false">E12-E14</f>
        <v>8755768.38420803</v>
      </c>
      <c r="F15" s="32" t="n">
        <f aca="false">F12-F14</f>
        <v>15233583.6871941</v>
      </c>
    </row>
    <row r="16" customFormat="false" ht="35.05" hidden="false" customHeight="false" outlineLevel="0" collapsed="false">
      <c r="A16" s="33" t="s">
        <v>294</v>
      </c>
    </row>
    <row r="18" customFormat="false" ht="15" hidden="false" customHeight="false" outlineLevel="0" collapsed="false">
      <c r="A18" s="6" t="s">
        <v>295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6" t="s">
        <v>296</v>
      </c>
      <c r="B19" s="21" t="s">
        <v>297</v>
      </c>
      <c r="C19" s="21" t="s">
        <v>298</v>
      </c>
      <c r="D19" s="21" t="s">
        <v>299</v>
      </c>
      <c r="E19" s="21" t="s">
        <v>300</v>
      </c>
      <c r="F19" s="21" t="s">
        <v>301</v>
      </c>
      <c r="G19" s="21" t="s">
        <v>302</v>
      </c>
      <c r="H19" s="21" t="s">
        <v>303</v>
      </c>
      <c r="I19" s="21" t="s">
        <v>304</v>
      </c>
      <c r="J19" s="21" t="s">
        <v>305</v>
      </c>
      <c r="K19" s="21" t="s">
        <v>306</v>
      </c>
      <c r="L19" s="21" t="s">
        <v>307</v>
      </c>
      <c r="M19" s="21" t="s">
        <v>308</v>
      </c>
    </row>
    <row r="20" customFormat="false" ht="15" hidden="false" customHeight="false" outlineLevel="0" collapsed="false">
      <c r="A20" s="2" t="s">
        <v>309</v>
      </c>
      <c r="B20" s="12" t="n">
        <v>0.02</v>
      </c>
      <c r="C20" s="12" t="n">
        <v>0.03</v>
      </c>
      <c r="D20" s="12" t="n">
        <v>0.04</v>
      </c>
      <c r="E20" s="12" t="n">
        <v>0.06</v>
      </c>
      <c r="F20" s="12" t="n">
        <v>0.08</v>
      </c>
      <c r="G20" s="12" t="n">
        <v>0.09</v>
      </c>
      <c r="H20" s="12" t="n">
        <v>0.1</v>
      </c>
      <c r="I20" s="12" t="n">
        <v>0.11</v>
      </c>
      <c r="J20" s="12" t="n">
        <v>0.11</v>
      </c>
      <c r="K20" s="12" t="n">
        <v>0.12</v>
      </c>
      <c r="L20" s="12" t="n">
        <v>0.12</v>
      </c>
      <c r="M20" s="12" t="n">
        <v>0.12</v>
      </c>
    </row>
    <row r="21" customFormat="false" ht="15" hidden="false" customHeight="false" outlineLevel="0" collapsed="false">
      <c r="A21" s="2" t="s">
        <v>310</v>
      </c>
      <c r="B21" s="22" t="n">
        <f aca="false">'P&amp;L'!$B$5*B20</f>
        <v>21190.4</v>
      </c>
      <c r="C21" s="22" t="n">
        <f aca="false">'P&amp;L'!$B$5*C20</f>
        <v>31785.6</v>
      </c>
      <c r="D21" s="22" t="n">
        <f aca="false">'P&amp;L'!$B$5*D20</f>
        <v>42380.8</v>
      </c>
      <c r="E21" s="22" t="n">
        <f aca="false">'P&amp;L'!$B$5*E20</f>
        <v>63571.2</v>
      </c>
      <c r="F21" s="22" t="n">
        <f aca="false">'P&amp;L'!$B$5*F20</f>
        <v>84761.6</v>
      </c>
      <c r="G21" s="22" t="n">
        <f aca="false">'P&amp;L'!$B$5*G20</f>
        <v>95356.8</v>
      </c>
      <c r="H21" s="22" t="n">
        <f aca="false">'P&amp;L'!$B$5*H20</f>
        <v>105952</v>
      </c>
      <c r="I21" s="22" t="n">
        <f aca="false">'P&amp;L'!$B$5*I20</f>
        <v>116547.2</v>
      </c>
      <c r="J21" s="22" t="n">
        <f aca="false">'P&amp;L'!$B$5*J20</f>
        <v>116547.2</v>
      </c>
      <c r="K21" s="22" t="n">
        <f aca="false">'P&amp;L'!$B$5*K20</f>
        <v>127142.4</v>
      </c>
      <c r="L21" s="22" t="n">
        <f aca="false">'P&amp;L'!$B$5*L20</f>
        <v>127142.4</v>
      </c>
      <c r="M21" s="22" t="n">
        <f aca="false">'P&amp;L'!$B$5*M20</f>
        <v>127142.4</v>
      </c>
    </row>
    <row r="22" customFormat="false" ht="15" hidden="false" customHeight="false" outlineLevel="0" collapsed="false">
      <c r="A22" s="2" t="s">
        <v>311</v>
      </c>
      <c r="B22" s="32" t="n">
        <f aca="false">0</f>
        <v>0</v>
      </c>
      <c r="C22" s="32" t="n">
        <f aca="false">0</f>
        <v>0</v>
      </c>
      <c r="D22" s="32" t="n">
        <f aca="false">B21</f>
        <v>21190.4</v>
      </c>
      <c r="E22" s="32" t="n">
        <f aca="false">C21</f>
        <v>31785.6</v>
      </c>
      <c r="F22" s="32" t="n">
        <f aca="false">D21</f>
        <v>42380.8</v>
      </c>
      <c r="G22" s="32" t="n">
        <f aca="false">E21</f>
        <v>63571.2</v>
      </c>
      <c r="H22" s="32" t="n">
        <f aca="false">F21</f>
        <v>84761.6</v>
      </c>
      <c r="I22" s="32" t="n">
        <f aca="false">G21</f>
        <v>95356.8</v>
      </c>
      <c r="J22" s="32" t="n">
        <f aca="false">H21</f>
        <v>105952</v>
      </c>
      <c r="K22" s="32" t="n">
        <f aca="false">I21</f>
        <v>116547.2</v>
      </c>
      <c r="L22" s="32" t="n">
        <f aca="false">J21</f>
        <v>116547.2</v>
      </c>
      <c r="M22" s="32" t="n">
        <f aca="false">K21</f>
        <v>127142.4</v>
      </c>
    </row>
    <row r="23" customFormat="false" ht="15" hidden="false" customHeight="false" outlineLevel="0" collapsed="false">
      <c r="A23" s="2" t="s">
        <v>312</v>
      </c>
      <c r="B23" s="22" t="n">
        <f aca="false">-B22*'P&amp;L'!$B$10</f>
        <v>-0</v>
      </c>
      <c r="C23" s="22" t="n">
        <f aca="false">-C22*'P&amp;L'!$B$10</f>
        <v>-0</v>
      </c>
      <c r="D23" s="22" t="n">
        <f aca="false">-D22*'P&amp;L'!$B$10</f>
        <v>-2006.208</v>
      </c>
      <c r="E23" s="22" t="n">
        <f aca="false">-E22*'P&amp;L'!$B$10</f>
        <v>-3009.312</v>
      </c>
      <c r="F23" s="22" t="n">
        <f aca="false">-F22*'P&amp;L'!$B$10</f>
        <v>-4012.416</v>
      </c>
      <c r="G23" s="22" t="n">
        <f aca="false">-G22*'P&amp;L'!$B$10</f>
        <v>-6018.624</v>
      </c>
      <c r="H23" s="22" t="n">
        <f aca="false">-H22*'P&amp;L'!$B$10</f>
        <v>-8024.832</v>
      </c>
      <c r="I23" s="22" t="n">
        <f aca="false">-I22*'P&amp;L'!$B$10</f>
        <v>-9027.936</v>
      </c>
      <c r="J23" s="22" t="n">
        <f aca="false">-J22*'P&amp;L'!$B$10</f>
        <v>-10031.04</v>
      </c>
      <c r="K23" s="22" t="n">
        <f aca="false">-K22*'P&amp;L'!$B$10</f>
        <v>-11034.144</v>
      </c>
      <c r="L23" s="22" t="n">
        <f aca="false">-L22*'P&amp;L'!$B$10</f>
        <v>-11034.144</v>
      </c>
      <c r="M23" s="22" t="n">
        <f aca="false">-M22*'P&amp;L'!$B$10</f>
        <v>-12037.248</v>
      </c>
    </row>
    <row r="24" customFormat="false" ht="15" hidden="false" customHeight="false" outlineLevel="0" collapsed="false">
      <c r="A24" s="2" t="s">
        <v>287</v>
      </c>
      <c r="B24" s="22" t="n">
        <f aca="false">-B22*Assumptions!$E$69</f>
        <v>-0</v>
      </c>
      <c r="C24" s="22" t="n">
        <f aca="false">-C22*Assumptions!$E$69</f>
        <v>-0</v>
      </c>
      <c r="D24" s="22" t="n">
        <f aca="false">-D22*Assumptions!$E$69</f>
        <v>-2119.04</v>
      </c>
      <c r="E24" s="22" t="n">
        <f aca="false">-E22*Assumptions!$E$69</f>
        <v>-3178.56</v>
      </c>
      <c r="F24" s="22" t="n">
        <f aca="false">-F22*Assumptions!$E$69</f>
        <v>-4238.08</v>
      </c>
      <c r="G24" s="22" t="n">
        <f aca="false">-G22*Assumptions!$E$69</f>
        <v>-6357.12</v>
      </c>
      <c r="H24" s="22" t="n">
        <f aca="false">-H22*Assumptions!$E$69</f>
        <v>-8476.16</v>
      </c>
      <c r="I24" s="22" t="n">
        <f aca="false">-I22*Assumptions!$E$69</f>
        <v>-9535.68</v>
      </c>
      <c r="J24" s="22" t="n">
        <f aca="false">-J22*Assumptions!$E$69</f>
        <v>-10595.2</v>
      </c>
      <c r="K24" s="22" t="n">
        <f aca="false">-K22*Assumptions!$E$69</f>
        <v>-11654.72</v>
      </c>
      <c r="L24" s="22" t="n">
        <f aca="false">-L22*Assumptions!$E$69</f>
        <v>-11654.72</v>
      </c>
      <c r="M24" s="22" t="n">
        <f aca="false">-M22*Assumptions!$E$69</f>
        <v>-12714.24</v>
      </c>
    </row>
    <row r="25" customFormat="false" ht="15" hidden="false" customHeight="false" outlineLevel="0" collapsed="false">
      <c r="A25" s="2" t="s">
        <v>313</v>
      </c>
      <c r="B25" s="22" t="n">
        <f aca="false">-'P&amp;L'!$B$17/12</f>
        <v>-19950</v>
      </c>
      <c r="C25" s="22" t="n">
        <f aca="false">-'P&amp;L'!$B$17/12</f>
        <v>-19950</v>
      </c>
      <c r="D25" s="22" t="n">
        <f aca="false">-'P&amp;L'!$B$17/12</f>
        <v>-19950</v>
      </c>
      <c r="E25" s="22" t="n">
        <f aca="false">-'P&amp;L'!$B$17/12</f>
        <v>-19950</v>
      </c>
      <c r="F25" s="22" t="n">
        <f aca="false">-'P&amp;L'!$B$17/12</f>
        <v>-19950</v>
      </c>
      <c r="G25" s="22" t="n">
        <f aca="false">-'P&amp;L'!$B$17/12</f>
        <v>-19950</v>
      </c>
      <c r="H25" s="22" t="n">
        <f aca="false">-'P&amp;L'!$B$17/12</f>
        <v>-19950</v>
      </c>
      <c r="I25" s="22" t="n">
        <f aca="false">-'P&amp;L'!$B$17/12</f>
        <v>-19950</v>
      </c>
      <c r="J25" s="22" t="n">
        <f aca="false">-'P&amp;L'!$B$17/12</f>
        <v>-19950</v>
      </c>
      <c r="K25" s="22" t="n">
        <f aca="false">-'P&amp;L'!$B$17/12</f>
        <v>-19950</v>
      </c>
      <c r="L25" s="22" t="n">
        <f aca="false">-'P&amp;L'!$B$17/12</f>
        <v>-19950</v>
      </c>
      <c r="M25" s="22" t="n">
        <f aca="false">-'P&amp;L'!$B$17/12</f>
        <v>-19950</v>
      </c>
    </row>
    <row r="26" customFormat="false" ht="15" hidden="false" customHeight="false" outlineLevel="0" collapsed="false">
      <c r="A26" s="3" t="s">
        <v>289</v>
      </c>
      <c r="B26" s="19" t="n">
        <f aca="false">SUM(B22:B25)</f>
        <v>-19950</v>
      </c>
      <c r="C26" s="19" t="n">
        <f aca="false">SUM(C22:C25)</f>
        <v>-19950</v>
      </c>
      <c r="D26" s="19" t="n">
        <f aca="false">SUM(D22:D25)</f>
        <v>-2884.848</v>
      </c>
      <c r="E26" s="19" t="n">
        <f aca="false">SUM(E22:E25)</f>
        <v>5647.728</v>
      </c>
      <c r="F26" s="19" t="n">
        <f aca="false">SUM(F22:F25)</f>
        <v>14180.304</v>
      </c>
      <c r="G26" s="19" t="n">
        <f aca="false">SUM(G22:G25)</f>
        <v>31245.456</v>
      </c>
      <c r="H26" s="19" t="n">
        <f aca="false">SUM(H22:H25)</f>
        <v>48310.608</v>
      </c>
      <c r="I26" s="19" t="n">
        <f aca="false">SUM(I22:I25)</f>
        <v>56843.184</v>
      </c>
      <c r="J26" s="19" t="n">
        <f aca="false">SUM(J22:J25)</f>
        <v>65375.76</v>
      </c>
      <c r="K26" s="19" t="n">
        <f aca="false">SUM(K22:K25)</f>
        <v>73908.336</v>
      </c>
      <c r="L26" s="19" t="n">
        <f aca="false">SUM(L22:L25)</f>
        <v>73908.336</v>
      </c>
      <c r="M26" s="19" t="n">
        <f aca="false">SUM(M22:M25)</f>
        <v>82440.912</v>
      </c>
    </row>
    <row r="27" customFormat="false" ht="15" hidden="false" customHeight="false" outlineLevel="0" collapsed="false">
      <c r="A27" s="3" t="s">
        <v>314</v>
      </c>
      <c r="B27" s="20" t="n">
        <f aca="false">'Startup Budget'!$B$13+B26</f>
        <v>37050</v>
      </c>
      <c r="C27" s="19" t="n">
        <f aca="false">B27+C26</f>
        <v>17100</v>
      </c>
      <c r="D27" s="19" t="n">
        <f aca="false">C27+D26</f>
        <v>14215.152</v>
      </c>
      <c r="E27" s="19" t="n">
        <f aca="false">D27+E26</f>
        <v>19862.88</v>
      </c>
      <c r="F27" s="19" t="n">
        <f aca="false">E27+F26</f>
        <v>34043.184</v>
      </c>
      <c r="G27" s="19" t="n">
        <f aca="false">F27+G26</f>
        <v>65288.64</v>
      </c>
      <c r="H27" s="19" t="n">
        <f aca="false">G27+H26</f>
        <v>113599.248</v>
      </c>
      <c r="I27" s="19" t="n">
        <f aca="false">H27+I26</f>
        <v>170442.432</v>
      </c>
      <c r="J27" s="19" t="n">
        <f aca="false">I27+J26</f>
        <v>235818.192</v>
      </c>
      <c r="K27" s="19" t="n">
        <f aca="false">J27+K26</f>
        <v>309726.528</v>
      </c>
      <c r="L27" s="19" t="n">
        <f aca="false">K27+L26</f>
        <v>383634.864</v>
      </c>
      <c r="M27" s="19" t="n">
        <f aca="false">L27+M26</f>
        <v>466075.776</v>
      </c>
    </row>
    <row r="28" customFormat="false" ht="15" hidden="false" customHeight="false" outlineLevel="0" collapsed="false">
      <c r="A28" s="3" t="s">
        <v>315</v>
      </c>
      <c r="B28" s="34" t="n">
        <f aca="false">MIN(B27:M27)</f>
        <v>14215.152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316</v>
      </c>
    </row>
    <row r="3" customFormat="false" ht="35.05" hidden="false" customHeight="false" outlineLevel="0" collapsed="false">
      <c r="A3" s="33" t="s">
        <v>317</v>
      </c>
    </row>
    <row r="5" customFormat="false" ht="15" hidden="false" customHeight="false" outlineLevel="0" collapsed="false">
      <c r="A5" s="6" t="s">
        <v>318</v>
      </c>
      <c r="B5" s="35" t="n">
        <v>0.7</v>
      </c>
      <c r="C5" s="35" t="n">
        <v>0.85</v>
      </c>
      <c r="D5" s="35" t="n">
        <v>1</v>
      </c>
      <c r="E5" s="35" t="n">
        <v>1.15</v>
      </c>
      <c r="F5" s="35" t="n">
        <v>1.3</v>
      </c>
    </row>
    <row r="6" customFormat="false" ht="15" hidden="false" customHeight="false" outlineLevel="0" collapsed="false">
      <c r="A6" s="12" t="n">
        <v>0.35</v>
      </c>
      <c r="B6" s="36" t="n">
        <f aca="false">(('P&amp;L'!$D$5*B$5)-(('P&amp;L'!$D$5*B$5)*(Funnels!$D$25*$A6+Funnels!$D$24*Assumptions!$E$58))-'P&amp;L'!$D$17)/('P&amp;L'!$D$5*B$5)</f>
        <v>0.642561804904315</v>
      </c>
      <c r="C6" s="36" t="n">
        <f aca="false">(('P&amp;L'!$D$5*C$5)-(('P&amp;L'!$D$5*C$5)*(Funnels!$D$25*$A6+Funnels!$D$24*Assumptions!$E$58))-'P&amp;L'!$D$17)/('P&amp;L'!$D$5*C$5)</f>
        <v>0.663891529657522</v>
      </c>
      <c r="D6" s="36" t="n">
        <f aca="false">(('P&amp;L'!$D$5*D$5)-(('P&amp;L'!$D$5*D$5)*(Funnels!$D$25*$A6+Funnels!$D$24*Assumptions!$E$58))-'P&amp;L'!$D$17)/('P&amp;L'!$D$5*D$5)</f>
        <v>0.678822336984767</v>
      </c>
      <c r="E6" s="36" t="n">
        <f aca="false">(('P&amp;L'!$D$5*E$5)-(('P&amp;L'!$D$5*E$5)*(Funnels!$D$25*$A6+Funnels!$D$24*Assumptions!$E$58))-'P&amp;L'!$D$17)/('P&amp;L'!$D$5*E$5)</f>
        <v>0.689858151096209</v>
      </c>
      <c r="F6" s="36" t="n">
        <f aca="false">(('P&amp;L'!$D$5*F$5)-(('P&amp;L'!$D$5*F$5)*(Funnels!$D$25*$A6+Funnels!$D$24*Assumptions!$E$58))-'P&amp;L'!$D$17)/('P&amp;L'!$D$5*F$5)</f>
        <v>0.698347238874241</v>
      </c>
    </row>
    <row r="7" customFormat="false" ht="15" hidden="false" customHeight="false" outlineLevel="0" collapsed="false">
      <c r="A7" s="12" t="n">
        <v>0.4</v>
      </c>
      <c r="B7" s="36" t="n">
        <f aca="false">(('P&amp;L'!$D$5*B$5)-(('P&amp;L'!$D$5*B$5)*(Funnels!$D$25*$A7+Funnels!$D$24*Assumptions!$E$58))-'P&amp;L'!$D$17)/('P&amp;L'!$D$5*B$5)</f>
        <v>0.626842559948793</v>
      </c>
      <c r="C7" s="36" t="n">
        <f aca="false">(('P&amp;L'!$D$5*C$5)-(('P&amp;L'!$D$5*C$5)*(Funnels!$D$25*$A7+Funnels!$D$24*Assumptions!$E$58))-'P&amp;L'!$D$17)/('P&amp;L'!$D$5*C$5)</f>
        <v>0.648172284702</v>
      </c>
      <c r="D7" s="36" t="n">
        <f aca="false">(('P&amp;L'!$D$5*D$5)-(('P&amp;L'!$D$5*D$5)*(Funnels!$D$25*$A7+Funnels!$D$24*Assumptions!$E$58))-'P&amp;L'!$D$17)/('P&amp;L'!$D$5*D$5)</f>
        <v>0.663103092029245</v>
      </c>
      <c r="E7" s="36" t="n">
        <f aca="false">(('P&amp;L'!$D$5*E$5)-(('P&amp;L'!$D$5*E$5)*(Funnels!$D$25*$A7+Funnels!$D$24*Assumptions!$E$58))-'P&amp;L'!$D$17)/('P&amp;L'!$D$5*E$5)</f>
        <v>0.674138906140687</v>
      </c>
      <c r="F7" s="36" t="n">
        <f aca="false">(('P&amp;L'!$D$5*F$5)-(('P&amp;L'!$D$5*F$5)*(Funnels!$D$25*$A7+Funnels!$D$24*Assumptions!$E$58))-'P&amp;L'!$D$17)/('P&amp;L'!$D$5*F$5)</f>
        <v>0.682627993918719</v>
      </c>
    </row>
    <row r="8" customFormat="false" ht="15" hidden="false" customHeight="false" outlineLevel="0" collapsed="false">
      <c r="A8" s="12" t="n">
        <v>0.42</v>
      </c>
      <c r="B8" s="36" t="n">
        <f aca="false">(('P&amp;L'!$D$5*B$5)-(('P&amp;L'!$D$5*B$5)*(Funnels!$D$25*$A8+Funnels!$D$24*Assumptions!$E$58))-'P&amp;L'!$D$17)/('P&amp;L'!$D$5*B$5)</f>
        <v>0.620554861966584</v>
      </c>
      <c r="C8" s="36" t="n">
        <f aca="false">(('P&amp;L'!$D$5*C$5)-(('P&amp;L'!$D$5*C$5)*(Funnels!$D$25*$A8+Funnels!$D$24*Assumptions!$E$58))-'P&amp;L'!$D$17)/('P&amp;L'!$D$5*C$5)</f>
        <v>0.641884586719791</v>
      </c>
      <c r="D8" s="36" t="n">
        <f aca="false">(('P&amp;L'!$D$5*D$5)-(('P&amp;L'!$D$5*D$5)*(Funnels!$D$25*$A8+Funnels!$D$24*Assumptions!$E$58))-'P&amp;L'!$D$17)/('P&amp;L'!$D$5*D$5)</f>
        <v>0.656815394047036</v>
      </c>
      <c r="E8" s="36" t="n">
        <f aca="false">(('P&amp;L'!$D$5*E$5)-(('P&amp;L'!$D$5*E$5)*(Funnels!$D$25*$A8+Funnels!$D$24*Assumptions!$E$58))-'P&amp;L'!$D$17)/('P&amp;L'!$D$5*E$5)</f>
        <v>0.667851208158478</v>
      </c>
      <c r="F8" s="36" t="n">
        <f aca="false">(('P&amp;L'!$D$5*F$5)-(('P&amp;L'!$D$5*F$5)*(Funnels!$D$25*$A8+Funnels!$D$24*Assumptions!$E$58))-'P&amp;L'!$D$17)/('P&amp;L'!$D$5*F$5)</f>
        <v>0.676340295936511</v>
      </c>
    </row>
    <row r="9" customFormat="false" ht="15" hidden="false" customHeight="false" outlineLevel="0" collapsed="false">
      <c r="A9" s="12" t="n">
        <v>0.45</v>
      </c>
      <c r="B9" s="36" t="n">
        <f aca="false">(('P&amp;L'!$D$5*B$5)-(('P&amp;L'!$D$5*B$5)*(Funnels!$D$25*$A9+Funnels!$D$24*Assumptions!$E$58))-'P&amp;L'!$D$17)/('P&amp;L'!$D$5*B$5)</f>
        <v>0.611123314993271</v>
      </c>
      <c r="C9" s="36" t="n">
        <f aca="false">(('P&amp;L'!$D$5*C$5)-(('P&amp;L'!$D$5*C$5)*(Funnels!$D$25*$A9+Funnels!$D$24*Assumptions!$E$58))-'P&amp;L'!$D$17)/('P&amp;L'!$D$5*C$5)</f>
        <v>0.632453039746478</v>
      </c>
      <c r="D9" s="36" t="n">
        <f aca="false">(('P&amp;L'!$D$5*D$5)-(('P&amp;L'!$D$5*D$5)*(Funnels!$D$25*$A9+Funnels!$D$24*Assumptions!$E$58))-'P&amp;L'!$D$17)/('P&amp;L'!$D$5*D$5)</f>
        <v>0.647383847073723</v>
      </c>
      <c r="E9" s="36" t="n">
        <f aca="false">(('P&amp;L'!$D$5*E$5)-(('P&amp;L'!$D$5*E$5)*(Funnels!$D$25*$A9+Funnels!$D$24*Assumptions!$E$58))-'P&amp;L'!$D$17)/('P&amp;L'!$D$5*E$5)</f>
        <v>0.658419661185165</v>
      </c>
      <c r="F9" s="36" t="n">
        <f aca="false">(('P&amp;L'!$D$5*F$5)-(('P&amp;L'!$D$5*F$5)*(Funnels!$D$25*$A9+Funnels!$D$24*Assumptions!$E$58))-'P&amp;L'!$D$17)/('P&amp;L'!$D$5*F$5)</f>
        <v>0.666908748963198</v>
      </c>
    </row>
    <row r="10" customFormat="false" ht="15" hidden="false" customHeight="false" outlineLevel="0" collapsed="false">
      <c r="A10" s="12" t="n">
        <v>0.5</v>
      </c>
      <c r="B10" s="36" t="n">
        <f aca="false">(('P&amp;L'!$D$5*B$5)-(('P&amp;L'!$D$5*B$5)*(Funnels!$D$25*$A10+Funnels!$D$24*Assumptions!$E$58))-'P&amp;L'!$D$17)/('P&amp;L'!$D$5*B$5)</f>
        <v>0.595404070037749</v>
      </c>
      <c r="C10" s="36" t="n">
        <f aca="false">(('P&amp;L'!$D$5*C$5)-(('P&amp;L'!$D$5*C$5)*(Funnels!$D$25*$A10+Funnels!$D$24*Assumptions!$E$58))-'P&amp;L'!$D$17)/('P&amp;L'!$D$5*C$5)</f>
        <v>0.616733794790957</v>
      </c>
      <c r="D10" s="36" t="n">
        <f aca="false">(('P&amp;L'!$D$5*D$5)-(('P&amp;L'!$D$5*D$5)*(Funnels!$D$25*$A10+Funnels!$D$24*Assumptions!$E$58))-'P&amp;L'!$D$17)/('P&amp;L'!$D$5*D$5)</f>
        <v>0.631664602118202</v>
      </c>
      <c r="E10" s="36" t="n">
        <f aca="false">(('P&amp;L'!$D$5*E$5)-(('P&amp;L'!$D$5*E$5)*(Funnels!$D$25*$A10+Funnels!$D$24*Assumptions!$E$58))-'P&amp;L'!$D$17)/('P&amp;L'!$D$5*E$5)</f>
        <v>0.642700416229644</v>
      </c>
      <c r="F10" s="36" t="n">
        <f aca="false">(('P&amp;L'!$D$5*F$5)-(('P&amp;L'!$D$5*F$5)*(Funnels!$D$25*$A10+Funnels!$D$24*Assumptions!$E$58))-'P&amp;L'!$D$17)/('P&amp;L'!$D$5*F$5)</f>
        <v>0.651189504007676</v>
      </c>
    </row>
    <row r="11" customFormat="false" ht="15" hidden="false" customHeight="false" outlineLevel="0" collapsed="false">
      <c r="A11" s="12" t="n">
        <v>0.55</v>
      </c>
      <c r="B11" s="36" t="n">
        <f aca="false">(('P&amp;L'!$D$5*B$5)-(('P&amp;L'!$D$5*B$5)*(Funnels!$D$25*$A11+Funnels!$D$24*Assumptions!$E$58))-'P&amp;L'!$D$17)/('P&amp;L'!$D$5*B$5)</f>
        <v>0.579684825082228</v>
      </c>
      <c r="C11" s="36" t="n">
        <f aca="false">(('P&amp;L'!$D$5*C$5)-(('P&amp;L'!$D$5*C$5)*(Funnels!$D$25*$A11+Funnels!$D$24*Assumptions!$E$58))-'P&amp;L'!$D$17)/('P&amp;L'!$D$5*C$5)</f>
        <v>0.601014549835435</v>
      </c>
      <c r="D11" s="36" t="n">
        <f aca="false">(('P&amp;L'!$D$5*D$5)-(('P&amp;L'!$D$5*D$5)*(Funnels!$D$25*$A11+Funnels!$D$24*Assumptions!$E$58))-'P&amp;L'!$D$17)/('P&amp;L'!$D$5*D$5)</f>
        <v>0.61594535716268</v>
      </c>
      <c r="E11" s="36" t="n">
        <f aca="false">(('P&amp;L'!$D$5*E$5)-(('P&amp;L'!$D$5*E$5)*(Funnels!$D$25*$A11+Funnels!$D$24*Assumptions!$E$58))-'P&amp;L'!$D$17)/('P&amp;L'!$D$5*E$5)</f>
        <v>0.626981171274122</v>
      </c>
      <c r="F11" s="36" t="n">
        <f aca="false">(('P&amp;L'!$D$5*F$5)-(('P&amp;L'!$D$5*F$5)*(Funnels!$D$25*$A11+Funnels!$D$24*Assumptions!$E$58))-'P&amp;L'!$D$17)/('P&amp;L'!$D$5*F$5)</f>
        <v>0.635470259052154</v>
      </c>
    </row>
    <row r="13" customFormat="false" ht="15" hidden="false" customHeight="false" outlineLevel="0" collapsed="false">
      <c r="A13" s="6" t="s">
        <v>319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2" t="s">
        <v>320</v>
      </c>
      <c r="B14" s="37" t="n">
        <f aca="false">1-0.25-'P&amp;L'!$D$17/'P&amp;L'!$D$5</f>
        <v>0.665392091812278</v>
      </c>
    </row>
    <row r="15" customFormat="false" ht="15" hidden="false" customHeight="false" outlineLevel="0" collapsed="false">
      <c r="A15" s="2" t="s">
        <v>321</v>
      </c>
      <c r="B15" s="37" t="n">
        <f aca="false">1-0.3-'P&amp;L'!$D$17/'P&amp;L'!$D$5</f>
        <v>0.615392091812278</v>
      </c>
    </row>
    <row r="16" customFormat="false" ht="15" hidden="false" customHeight="false" outlineLevel="0" collapsed="false">
      <c r="A16" s="2" t="s">
        <v>322</v>
      </c>
      <c r="B16" s="36" t="n">
        <f aca="false">'P&amp;L'!$D$10</f>
        <v>0.258576697765242</v>
      </c>
    </row>
    <row r="17" customFormat="false" ht="15" hidden="false" customHeight="false" outlineLevel="0" collapsed="false">
      <c r="A17" s="2" t="s">
        <v>323</v>
      </c>
      <c r="B17" s="13" t="n">
        <f aca="false">B14-B16</f>
        <v>0.406815394047036</v>
      </c>
    </row>
    <row r="19" customFormat="false" ht="46.25" hidden="false" customHeight="false" outlineLevel="0" collapsed="false">
      <c r="A19" s="33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6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325</v>
      </c>
    </row>
    <row r="3" customFormat="false" ht="15" hidden="false" customHeight="false" outlineLevel="0" collapsed="false">
      <c r="A3" s="6" t="s">
        <v>326</v>
      </c>
      <c r="B3" s="7"/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A4" s="5" t="s">
        <v>327</v>
      </c>
      <c r="B4" s="5" t="s">
        <v>328</v>
      </c>
      <c r="C4" s="5" t="s">
        <v>329</v>
      </c>
      <c r="D4" s="5" t="s">
        <v>330</v>
      </c>
      <c r="E4" s="5" t="s">
        <v>331</v>
      </c>
      <c r="F4" s="5" t="s">
        <v>332</v>
      </c>
      <c r="G4" s="5" t="s">
        <v>333</v>
      </c>
    </row>
    <row r="5" customFormat="false" ht="15" hidden="false" customHeight="false" outlineLevel="0" collapsed="false">
      <c r="A5" s="2" t="s">
        <v>334</v>
      </c>
      <c r="B5" s="12" t="n">
        <v>0.55</v>
      </c>
      <c r="C5" s="12" t="n">
        <v>0.45</v>
      </c>
      <c r="D5" s="12" t="n">
        <v>0.45</v>
      </c>
      <c r="E5" s="12" t="n">
        <v>0.28</v>
      </c>
      <c r="F5" s="12" t="n">
        <v>0.6</v>
      </c>
      <c r="G5" s="12" t="n">
        <v>0.45</v>
      </c>
    </row>
    <row r="6" customFormat="false" ht="15" hidden="false" customHeight="false" outlineLevel="0" collapsed="false">
      <c r="A6" s="2" t="s">
        <v>335</v>
      </c>
      <c r="B6" s="12" t="n">
        <v>0.6</v>
      </c>
      <c r="C6" s="12" t="n">
        <v>0.5</v>
      </c>
      <c r="D6" s="12" t="n">
        <v>0.5</v>
      </c>
      <c r="E6" s="12" t="n">
        <v>0.32</v>
      </c>
      <c r="F6" s="12" t="n">
        <v>0.65</v>
      </c>
      <c r="G6" s="12" t="n">
        <v>0.5</v>
      </c>
    </row>
    <row r="7" customFormat="false" ht="15" hidden="false" customHeight="false" outlineLevel="0" collapsed="false">
      <c r="A7" s="2" t="s">
        <v>336</v>
      </c>
      <c r="B7" s="12" t="n">
        <v>0.65</v>
      </c>
      <c r="C7" s="12" t="n">
        <v>0.55</v>
      </c>
      <c r="D7" s="12" t="n">
        <v>0.55</v>
      </c>
      <c r="E7" s="12" t="n">
        <v>0.36</v>
      </c>
      <c r="F7" s="12" t="n">
        <v>0.7</v>
      </c>
      <c r="G7" s="12" t="n">
        <v>0.55</v>
      </c>
    </row>
    <row r="8" customFormat="false" ht="15" hidden="false" customHeight="false" outlineLevel="0" collapsed="false">
      <c r="A8" s="2" t="s">
        <v>337</v>
      </c>
      <c r="B8" s="12" t="n">
        <v>0.7</v>
      </c>
      <c r="C8" s="12" t="n">
        <v>0.6</v>
      </c>
      <c r="D8" s="12" t="n">
        <v>0.6</v>
      </c>
      <c r="E8" s="12" t="n">
        <v>0.4</v>
      </c>
      <c r="F8" s="12" t="n">
        <v>0.75</v>
      </c>
      <c r="G8" s="12" t="n">
        <v>0.6</v>
      </c>
    </row>
    <row r="9" customFormat="false" ht="15" hidden="false" customHeight="false" outlineLevel="0" collapsed="false">
      <c r="A9" s="2" t="s">
        <v>338</v>
      </c>
      <c r="B9" s="38" t="n">
        <v>5</v>
      </c>
      <c r="C9" s="38" t="n">
        <v>10</v>
      </c>
      <c r="D9" s="38" t="n">
        <v>20</v>
      </c>
    </row>
    <row r="11" customFormat="false" ht="15" hidden="false" customHeight="false" outlineLevel="0" collapsed="false">
      <c r="A11" s="6" t="s">
        <v>339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2" t="s">
        <v>340</v>
      </c>
      <c r="B12" s="30" t="n">
        <f aca="false">Funnels!D18*(Revenue!D13/Revenue!D5)</f>
        <v>10.89648</v>
      </c>
    </row>
    <row r="13" customFormat="false" ht="15" hidden="false" customHeight="false" outlineLevel="0" collapsed="false">
      <c r="A13" s="2" t="s">
        <v>341</v>
      </c>
      <c r="B13" s="22" t="n">
        <f aca="false">Funnels!D18*Revenue!D19</f>
        <v>996912</v>
      </c>
    </row>
    <row r="14" customFormat="false" ht="15" hidden="false" customHeight="false" outlineLevel="0" collapsed="false">
      <c r="A14" s="2" t="s">
        <v>342</v>
      </c>
      <c r="B14" s="39" t="n">
        <f aca="false">MIN(B12,B9)</f>
        <v>5</v>
      </c>
    </row>
    <row r="15" customFormat="false" ht="15" hidden="false" customHeight="false" outlineLevel="0" collapsed="false">
      <c r="A15" s="2" t="s">
        <v>343</v>
      </c>
      <c r="B15" s="39" t="n">
        <f aca="false">MAX(0,MIN(B12,C9)-B9)</f>
        <v>5</v>
      </c>
    </row>
    <row r="16" customFormat="false" ht="15" hidden="false" customHeight="false" outlineLevel="0" collapsed="false">
      <c r="A16" s="2" t="s">
        <v>344</v>
      </c>
      <c r="B16" s="39" t="n">
        <f aca="false">MAX(0,MIN(B12,D9)-C9)</f>
        <v>0.896479999999997</v>
      </c>
    </row>
    <row r="17" customFormat="false" ht="15" hidden="false" customHeight="false" outlineLevel="0" collapsed="false">
      <c r="A17" s="2" t="s">
        <v>345</v>
      </c>
      <c r="B17" s="39" t="n">
        <f aca="false">MAX(0,B12-D9)</f>
        <v>0</v>
      </c>
    </row>
    <row r="18" customFormat="false" ht="15" hidden="false" customHeight="false" outlineLevel="0" collapsed="false">
      <c r="A18" s="3" t="s">
        <v>346</v>
      </c>
      <c r="B18" s="13" t="n">
        <f aca="false">($B$14*B5+$B$15*B6+$B$16*B7+$B$17*B8)/$B$12</f>
        <v>0.581170433020572</v>
      </c>
      <c r="C18" s="13" t="n">
        <f aca="false">($B$14*C5+$B$15*C6+$B$16*C7+$B$17*C8)/$B$12</f>
        <v>0.481170433020572</v>
      </c>
      <c r="D18" s="13" t="n">
        <f aca="false">($B$14*D5+$B$15*D6+$B$16*D7+$B$17*D8)/$B$12</f>
        <v>0.481170433020572</v>
      </c>
      <c r="E18" s="13" t="n">
        <f aca="false">($B$14*E5+$B$15*E6+$B$16*E7+$B$17*E8)/$B$12</f>
        <v>0.304936346416457</v>
      </c>
      <c r="F18" s="13" t="n">
        <f aca="false">($B$14*F5+$B$15*F6+$B$16*F7+$B$17*F8)/$B$12</f>
        <v>0.631170433020572</v>
      </c>
      <c r="G18" s="13" t="n">
        <f aca="false">($B$14*G5+$B$15*G6+$B$16*G7+$B$17*G8)/$B$12</f>
        <v>0.481170433020572</v>
      </c>
    </row>
    <row r="20" customFormat="false" ht="15" hidden="false" customHeight="false" outlineLevel="0" collapsed="false">
      <c r="A20" s="6" t="s">
        <v>347</v>
      </c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5"/>
      <c r="B21" s="5" t="s">
        <v>348</v>
      </c>
      <c r="C21" s="5" t="s">
        <v>349</v>
      </c>
      <c r="D21" s="5" t="s">
        <v>350</v>
      </c>
      <c r="E21" s="5" t="s">
        <v>351</v>
      </c>
    </row>
    <row r="22" customFormat="false" ht="15" hidden="false" customHeight="false" outlineLevel="0" collapsed="false">
      <c r="A22" s="2" t="s">
        <v>352</v>
      </c>
      <c r="B22" s="36" t="n">
        <f aca="false">Assumptions!$E$57</f>
        <v>0.42</v>
      </c>
      <c r="C22" s="29" t="n">
        <f aca="false">$B$18</f>
        <v>0.581170433020572</v>
      </c>
      <c r="D22" s="29" t="n">
        <f aca="false">$D$18</f>
        <v>0.481170433020572</v>
      </c>
      <c r="E22" s="29" t="n">
        <f aca="false">$F$18</f>
        <v>0.631170433020572</v>
      </c>
    </row>
    <row r="23" customFormat="false" ht="15" hidden="false" customHeight="false" outlineLevel="0" collapsed="false">
      <c r="A23" s="2" t="s">
        <v>353</v>
      </c>
      <c r="B23" s="36" t="n">
        <f aca="false">Assumptions!$E$58</f>
        <v>0.27</v>
      </c>
      <c r="C23" s="29" t="n">
        <f aca="false">$C$18</f>
        <v>0.481170433020572</v>
      </c>
      <c r="D23" s="29" t="n">
        <f aca="false">$E$18</f>
        <v>0.304936346416457</v>
      </c>
      <c r="E23" s="29" t="n">
        <f aca="false">$G$18</f>
        <v>0.481170433020572</v>
      </c>
    </row>
    <row r="24" customFormat="false" ht="15" hidden="false" customHeight="false" outlineLevel="0" collapsed="false">
      <c r="A24" s="2" t="s">
        <v>354</v>
      </c>
      <c r="B24" s="32" t="n">
        <f aca="false">$B$13*B22</f>
        <v>418703.04</v>
      </c>
      <c r="C24" s="32" t="n">
        <f aca="false">$B$13*C22</f>
        <v>579375.778723404</v>
      </c>
      <c r="D24" s="32" t="n">
        <f aca="false">$B$13*D22</f>
        <v>479684.578723404</v>
      </c>
      <c r="E24" s="32" t="n">
        <f aca="false">$B$13*E22</f>
        <v>629221.378723404</v>
      </c>
    </row>
    <row r="25" customFormat="false" ht="15" hidden="false" customHeight="false" outlineLevel="0" collapsed="false">
      <c r="A25" s="3" t="s">
        <v>355</v>
      </c>
      <c r="B25" s="19" t="n">
        <f aca="false">B24</f>
        <v>418703.04</v>
      </c>
      <c r="C25" s="19" t="n">
        <f aca="false">C24</f>
        <v>579375.778723404</v>
      </c>
      <c r="D25" s="19" t="n">
        <f aca="false">D24</f>
        <v>479684.578723404</v>
      </c>
      <c r="E25" s="19" t="n">
        <f aca="false">E24</f>
        <v>629221.378723404</v>
      </c>
    </row>
    <row r="26" customFormat="false" ht="15" hidden="false" customHeight="false" outlineLevel="0" collapsed="false">
      <c r="A26" s="2" t="s">
        <v>356</v>
      </c>
      <c r="B26" s="32" t="n">
        <f aca="false">$B$13-B24</f>
        <v>578208.96</v>
      </c>
      <c r="C26" s="32" t="n">
        <f aca="false">$B$13-C24</f>
        <v>417536.221276596</v>
      </c>
      <c r="D26" s="32" t="n">
        <f aca="false">$B$13-D24</f>
        <v>517227.421276596</v>
      </c>
      <c r="E26" s="32" t="n">
        <f aca="false">$B$13-E24</f>
        <v>367690.621276596</v>
      </c>
    </row>
    <row r="27" customFormat="false" ht="15" hidden="false" customHeight="false" outlineLevel="0" collapsed="false">
      <c r="A27" s="2" t="s">
        <v>207</v>
      </c>
      <c r="B27" s="29" t="n">
        <f aca="false">B26/$B$13</f>
        <v>0.58</v>
      </c>
      <c r="C27" s="29" t="n">
        <f aca="false">C26/$B$13</f>
        <v>0.418829566979428</v>
      </c>
      <c r="D27" s="29" t="n">
        <f aca="false">D26/$B$13</f>
        <v>0.518829566979428</v>
      </c>
      <c r="E27" s="29" t="n">
        <f aca="false">E26/$B$13</f>
        <v>0.368829566979428</v>
      </c>
    </row>
    <row r="29" customFormat="false" ht="15" hidden="false" customHeight="false" outlineLevel="0" collapsed="false">
      <c r="A29" s="2" t="s">
        <v>357</v>
      </c>
      <c r="B29" s="22" t="n">
        <f aca="false">Revenue!$D$18</f>
        <v>4756488</v>
      </c>
      <c r="C29" s="22" t="n">
        <f aca="false">Revenue!$D$18</f>
        <v>4756488</v>
      </c>
      <c r="D29" s="22" t="n">
        <f aca="false">Revenue!$D$18</f>
        <v>4756488</v>
      </c>
      <c r="E29" s="22" t="n">
        <f aca="false">Revenue!$D$18</f>
        <v>4756488</v>
      </c>
    </row>
    <row r="30" customFormat="false" ht="15" hidden="false" customHeight="false" outlineLevel="0" collapsed="false">
      <c r="A30" s="2" t="s">
        <v>358</v>
      </c>
      <c r="B30" s="22" t="n">
        <f aca="false">'P&amp;L'!$D$9</f>
        <v>1229916.96</v>
      </c>
      <c r="C30" s="22" t="n">
        <f aca="false">Revenue!$D$22*C23+Revenue!$D$23*C22</f>
        <v>1941650.30373992</v>
      </c>
      <c r="D30" s="22" t="n">
        <f aca="false">Revenue!$D$22*D23+Revenue!$D$23*D22</f>
        <v>1399266.57660896</v>
      </c>
      <c r="E30" s="22" t="n">
        <f aca="false">Revenue!$D$22*E23+Revenue!$D$23*E22</f>
        <v>2016418.70373992</v>
      </c>
    </row>
    <row r="31" customFormat="false" ht="15" hidden="false" customHeight="false" outlineLevel="0" collapsed="false">
      <c r="A31" s="2" t="s">
        <v>359</v>
      </c>
      <c r="B31" s="29" t="n">
        <f aca="false">B30/B29</f>
        <v>0.258576697765242</v>
      </c>
      <c r="C31" s="29" t="n">
        <f aca="false">C30/C29</f>
        <v>0.408210911861845</v>
      </c>
      <c r="D31" s="29" t="n">
        <f aca="false">D30/D29</f>
        <v>0.294180617423813</v>
      </c>
      <c r="E31" s="29" t="n">
        <f aca="false">E30/E29</f>
        <v>0.423930156817367</v>
      </c>
    </row>
    <row r="32" customFormat="false" ht="15" hidden="false" customHeight="false" outlineLevel="0" collapsed="false">
      <c r="A32" s="2" t="s">
        <v>264</v>
      </c>
      <c r="B32" s="32" t="n">
        <f aca="false">B29-B30</f>
        <v>3526571.04</v>
      </c>
      <c r="C32" s="32" t="n">
        <f aca="false">C29-C30</f>
        <v>2814837.69626008</v>
      </c>
      <c r="D32" s="32" t="n">
        <f aca="false">D29-D30</f>
        <v>3357221.42339104</v>
      </c>
      <c r="E32" s="32" t="n">
        <f aca="false">E29-E30</f>
        <v>2740069.29626008</v>
      </c>
    </row>
    <row r="33" customFormat="false" ht="15" hidden="false" customHeight="false" outlineLevel="0" collapsed="false">
      <c r="A33" s="3" t="s">
        <v>360</v>
      </c>
      <c r="B33" s="13" t="n">
        <f aca="false">B32/B29</f>
        <v>0.741423302234758</v>
      </c>
      <c r="C33" s="13" t="n">
        <f aca="false">C32/C29</f>
        <v>0.591789088138155</v>
      </c>
      <c r="D33" s="13" t="n">
        <f aca="false">D32/D29</f>
        <v>0.705819382576187</v>
      </c>
      <c r="E33" s="13" t="n">
        <f aca="false">E32/E29</f>
        <v>0.576069843182633</v>
      </c>
    </row>
    <row r="34" customFormat="false" ht="15" hidden="false" customHeight="false" outlineLevel="0" collapsed="false">
      <c r="A34" s="2" t="s">
        <v>361</v>
      </c>
      <c r="B34" s="22" t="n">
        <f aca="false">'P&amp;L'!$D$17</f>
        <v>402436.5</v>
      </c>
      <c r="C34" s="22" t="n">
        <f aca="false">'P&amp;L'!$D$17</f>
        <v>402436.5</v>
      </c>
      <c r="D34" s="22" t="n">
        <f aca="false">'P&amp;L'!$D$17</f>
        <v>402436.5</v>
      </c>
      <c r="E34" s="22" t="n">
        <f aca="false">'P&amp;L'!$D$17</f>
        <v>402436.5</v>
      </c>
    </row>
    <row r="35" customFormat="false" ht="15" hidden="false" customHeight="false" outlineLevel="0" collapsed="false">
      <c r="A35" s="3" t="s">
        <v>362</v>
      </c>
      <c r="B35" s="19" t="n">
        <f aca="false">B32-B34</f>
        <v>3124134.54</v>
      </c>
      <c r="C35" s="19" t="n">
        <f aca="false">C32-C34</f>
        <v>2412401.19626008</v>
      </c>
      <c r="D35" s="19" t="n">
        <f aca="false">D32-D34</f>
        <v>2954784.92339104</v>
      </c>
      <c r="E35" s="19" t="n">
        <f aca="false">E32-E34</f>
        <v>2337632.79626008</v>
      </c>
    </row>
    <row r="36" customFormat="false" ht="15" hidden="false" customHeight="false" outlineLevel="0" collapsed="false">
      <c r="A36" s="2" t="s">
        <v>363</v>
      </c>
      <c r="B36" s="29" t="n">
        <f aca="false">B35/B29</f>
        <v>0.656815394047036</v>
      </c>
      <c r="C36" s="29" t="n">
        <f aca="false">C35/C29</f>
        <v>0.507181179950433</v>
      </c>
      <c r="D36" s="29" t="n">
        <f aca="false">D35/D29</f>
        <v>0.621211474388465</v>
      </c>
      <c r="E36" s="29" t="n">
        <f aca="false">E35/E29</f>
        <v>0.491461934994912</v>
      </c>
    </row>
    <row r="37" customFormat="false" ht="15" hidden="false" customHeight="false" outlineLevel="0" collapsed="false">
      <c r="A37" s="2" t="s">
        <v>364</v>
      </c>
      <c r="B37" s="22" t="n">
        <f aca="false">'Founder &amp; Capital'!$D$6+'Founder &amp; Capital'!$D$7</f>
        <v>275620.81</v>
      </c>
      <c r="C37" s="22" t="n">
        <f aca="false">'Founder &amp; Capital'!$D$6+'Founder &amp; Capital'!$D$7</f>
        <v>275620.81</v>
      </c>
      <c r="D37" s="22" t="n">
        <f aca="false">'Founder &amp; Capital'!$D$6+'Founder &amp; Capital'!$D$7</f>
        <v>275620.81</v>
      </c>
      <c r="E37" s="22" t="n">
        <f aca="false">'Founder &amp; Capital'!$D$6+'Founder &amp; Capital'!$D$7</f>
        <v>275620.81</v>
      </c>
    </row>
    <row r="38" customFormat="false" ht="15" hidden="false" customHeight="false" outlineLevel="0" collapsed="false">
      <c r="A38" s="2" t="s">
        <v>365</v>
      </c>
      <c r="B38" s="32" t="n">
        <f aca="false">B35-B37</f>
        <v>2848513.73</v>
      </c>
      <c r="C38" s="32" t="n">
        <f aca="false">C35-C37</f>
        <v>2136780.38626008</v>
      </c>
      <c r="D38" s="32" t="n">
        <f aca="false">D35-D37</f>
        <v>2679164.11339104</v>
      </c>
      <c r="E38" s="32" t="n">
        <f aca="false">E35-E37</f>
        <v>2062011.98626008</v>
      </c>
    </row>
    <row r="39" customFormat="false" ht="15" hidden="false" customHeight="false" outlineLevel="0" collapsed="false">
      <c r="A39" s="2" t="s">
        <v>366</v>
      </c>
      <c r="B39" s="22" t="n">
        <f aca="false">MAX(0,B38)*Assumptions!$E$71</f>
        <v>712128.4325</v>
      </c>
      <c r="C39" s="22" t="n">
        <f aca="false">MAX(0,C38)*Assumptions!$E$71</f>
        <v>534195.096565019</v>
      </c>
      <c r="D39" s="22" t="n">
        <f aca="false">MAX(0,D38)*Assumptions!$E$71</f>
        <v>669791.02834776</v>
      </c>
      <c r="E39" s="22" t="n">
        <f aca="false">MAX(0,E38)*Assumptions!$E$71</f>
        <v>515502.996565019</v>
      </c>
    </row>
    <row r="40" customFormat="false" ht="15" hidden="false" customHeight="false" outlineLevel="0" collapsed="false">
      <c r="A40" s="2" t="s">
        <v>367</v>
      </c>
      <c r="B40" s="12" t="n">
        <v>0.35</v>
      </c>
      <c r="F40" s="2" t="s">
        <v>368</v>
      </c>
    </row>
    <row r="41" customFormat="false" ht="15" hidden="false" customHeight="false" outlineLevel="0" collapsed="false">
      <c r="A41" s="3" t="s">
        <v>369</v>
      </c>
      <c r="B41" s="19" t="n">
        <f aca="false">B39*$B$40</f>
        <v>249244.951375</v>
      </c>
      <c r="C41" s="19" t="n">
        <f aca="false">C39*$B$40</f>
        <v>186968.283797757</v>
      </c>
      <c r="D41" s="19" t="n">
        <f aca="false">D39*$B$40</f>
        <v>234426.859921716</v>
      </c>
      <c r="E41" s="19" t="n">
        <f aca="false">E39*$B$40</f>
        <v>180426.048797757</v>
      </c>
    </row>
    <row r="42" customFormat="false" ht="15" hidden="false" customHeight="false" outlineLevel="0" collapsed="false">
      <c r="A42" s="3" t="s">
        <v>370</v>
      </c>
      <c r="B42" s="19" t="n">
        <f aca="false">B39*(1-$B$40)</f>
        <v>462883.481125</v>
      </c>
      <c r="C42" s="19" t="n">
        <f aca="false">C39*(1-$B$40)</f>
        <v>347226.812767263</v>
      </c>
      <c r="D42" s="19" t="n">
        <f aca="false">D39*(1-$B$40)</f>
        <v>435364.168426044</v>
      </c>
      <c r="E42" s="19" t="n">
        <f aca="false">E39*(1-$B$40)</f>
        <v>335076.947767263</v>
      </c>
    </row>
    <row r="43" customFormat="false" ht="15" hidden="false" customHeight="false" outlineLevel="0" collapsed="false">
      <c r="A43" s="3" t="s">
        <v>371</v>
      </c>
      <c r="B43" s="20" t="n">
        <f aca="false">'Hiring &amp; Expenses'!$D$10+MAX(0,B38-B39)</f>
        <v>2252545.2975</v>
      </c>
      <c r="C43" s="20" t="n">
        <f aca="false">'Hiring &amp; Expenses'!$D$10+MAX(0,C38-C39)</f>
        <v>1718745.28969506</v>
      </c>
      <c r="D43" s="20" t="n">
        <f aca="false">'Hiring &amp; Expenses'!$D$10+MAX(0,D38-D39)</f>
        <v>2125533.08504328</v>
      </c>
      <c r="E43" s="20" t="n">
        <f aca="false">'Hiring &amp; Expenses'!$D$10+MAX(0,E38-E39)</f>
        <v>1662668.98969506</v>
      </c>
    </row>
    <row r="44" customFormat="false" ht="15" hidden="false" customHeight="false" outlineLevel="0" collapsed="false">
      <c r="A44" s="3" t="s">
        <v>372</v>
      </c>
      <c r="B44" s="27" t="n">
        <f aca="false">B34/(Revenue!$D$19*(1-B31))</f>
        <v>3.15575068381438</v>
      </c>
      <c r="C44" s="27" t="n">
        <f aca="false">C34/(Revenue!$D$19*(1-C31))</f>
        <v>3.9536840741427</v>
      </c>
      <c r="D44" s="27" t="n">
        <f aca="false">D34/(Revenue!$D$19*(1-D31))</f>
        <v>3.31493743411148</v>
      </c>
      <c r="E44" s="27" t="n">
        <f aca="false">E34/(Revenue!$D$19*(1-E31))</f>
        <v>4.06156843777271</v>
      </c>
    </row>
    <row r="45" customFormat="false" ht="15" hidden="false" customHeight="false" outlineLevel="0" collapsed="false">
      <c r="A45" s="2" t="s">
        <v>373</v>
      </c>
      <c r="B45" s="22" t="n">
        <f aca="false">SUM('P&amp;L'!$B$9:$D$9)</f>
        <v>1840510.08</v>
      </c>
      <c r="C45" s="22" t="n">
        <f aca="false">SUM(Revenue!$B$22:$D$22)*C23+SUM(Revenue!$B$23:$D$23)*C22</f>
        <v>2946395.95020484</v>
      </c>
      <c r="D45" s="22" t="n">
        <f aca="false">SUM(Revenue!$B$22:$D$22)*D23+SUM(Revenue!$B$23:$D$23)*D22</f>
        <v>2092268.67165323</v>
      </c>
      <c r="E45" s="22" t="n">
        <f aca="false">SUM(Revenue!$B$22:$D$22)*E23+SUM(Revenue!$B$23:$D$23)*E22</f>
        <v>3046087.15020484</v>
      </c>
    </row>
    <row r="46" customFormat="false" ht="15" hidden="false" customHeight="false" outlineLevel="0" collapsed="false">
      <c r="A46" s="3" t="s">
        <v>374</v>
      </c>
      <c r="B46" s="20" t="n">
        <f aca="false">'Cash Flow'!$D$12</f>
        <v>4574381.12339354</v>
      </c>
      <c r="C46" s="19" t="n">
        <f aca="false">$B$46-(C45-$B$45)</f>
        <v>3468495.2531887</v>
      </c>
      <c r="D46" s="19" t="n">
        <f aca="false">$B$46-(D45-$B$45)</f>
        <v>4322622.53174031</v>
      </c>
      <c r="E46" s="19" t="n">
        <f aca="false">$B$46-(E45-$B$45)</f>
        <v>3368804.05318871</v>
      </c>
    </row>
    <row r="47" customFormat="false" ht="15" hidden="false" customHeight="false" outlineLevel="0" collapsed="false">
      <c r="A47" s="2" t="s">
        <v>375</v>
      </c>
      <c r="B47" s="22" t="n">
        <f aca="false">B46-'Cash Flow'!$D$14</f>
        <v>4373162.87339354</v>
      </c>
      <c r="C47" s="22" t="n">
        <f aca="false">C46-'Cash Flow'!$D$14</f>
        <v>3267277.0031887</v>
      </c>
      <c r="D47" s="22" t="n">
        <f aca="false">D46-'Cash Flow'!$D$14</f>
        <v>4121404.28174031</v>
      </c>
      <c r="E47" s="22" t="n">
        <f aca="false">E46-'Cash Flow'!$D$14</f>
        <v>3167585.80318871</v>
      </c>
    </row>
    <row r="49" customFormat="false" ht="15" hidden="false" customHeight="false" outlineLevel="0" collapsed="false">
      <c r="A49" s="6" t="s">
        <v>376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0" collapsed="false">
      <c r="A50" s="2" t="s">
        <v>377</v>
      </c>
      <c r="B50" s="22" t="n">
        <f aca="false">'P&amp;L'!$F$9</f>
        <v>3497860.8</v>
      </c>
      <c r="C50" s="22" t="n">
        <f aca="false">Revenue!$F$22*C23+Revenue!$F$23*C22</f>
        <v>5399581.04347826</v>
      </c>
      <c r="D50" s="22" t="n">
        <f aca="false">Revenue!$F$22*D23+Revenue!$F$23*D22</f>
        <v>3984482.21350601</v>
      </c>
      <c r="E50" s="22" t="n">
        <f aca="false">Revenue!$F$22*E23+Revenue!$F$23*E22</f>
        <v>5648809.04347826</v>
      </c>
    </row>
    <row r="51" customFormat="false" ht="15" hidden="false" customHeight="false" outlineLevel="0" collapsed="false">
      <c r="A51" s="3" t="s">
        <v>378</v>
      </c>
      <c r="B51" s="20" t="n">
        <f aca="false">'P&amp;L'!$F$19</f>
        <v>7204358.25375</v>
      </c>
      <c r="C51" s="20" t="n">
        <f aca="false">Revenue!$F$18-C50-'P&amp;L'!$F$17</f>
        <v>5302638.01027174</v>
      </c>
      <c r="D51" s="20" t="n">
        <f aca="false">Revenue!$F$18-D50-'P&amp;L'!$F$17</f>
        <v>6717736.84024399</v>
      </c>
      <c r="E51" s="20" t="n">
        <f aca="false">Revenue!$F$18-E50-'P&amp;L'!$F$17</f>
        <v>5053410.01027174</v>
      </c>
    </row>
    <row r="52" customFormat="false" ht="15" hidden="false" customHeight="false" outlineLevel="0" collapsed="false">
      <c r="A52" s="2" t="s">
        <v>379</v>
      </c>
      <c r="B52" s="36" t="n">
        <f aca="false">B51/Revenue!$F$18</f>
        <v>0.642223302681265</v>
      </c>
      <c r="C52" s="36" t="n">
        <f aca="false">C51/Revenue!$F$18</f>
        <v>0.472696883738023</v>
      </c>
      <c r="D52" s="36" t="n">
        <f aca="false">D51/Revenue!$F$18</f>
        <v>0.598844059127603</v>
      </c>
      <c r="E52" s="36" t="n">
        <f aca="false">E51/Revenue!$F$18</f>
        <v>0.450479772422475</v>
      </c>
    </row>
    <row r="53" customFormat="false" ht="15" hidden="false" customHeight="false" outlineLevel="0" collapsed="false">
      <c r="A53" s="3" t="s">
        <v>380</v>
      </c>
      <c r="B53" s="20" t="n">
        <f aca="false">'Founder &amp; Capital'!$F$13</f>
        <v>5268333.11859375</v>
      </c>
      <c r="C53" s="20" t="n">
        <f aca="false">'Hiring &amp; Expenses'!$F$10+MAX(0,C51-'Founder &amp; Capital'!$F$6-'Founder &amp; Capital'!$F$7)*(1-Assumptions!$E$71)</f>
        <v>3842042.93598505</v>
      </c>
      <c r="D53" s="20" t="n">
        <f aca="false">'Hiring &amp; Expenses'!$F$10+MAX(0,D51-'Founder &amp; Capital'!$F$6-'Founder &amp; Capital'!$F$7)*(1-Assumptions!$E$71)</f>
        <v>4903367.05846424</v>
      </c>
      <c r="E53" s="20" t="n">
        <f aca="false">'Hiring &amp; Expenses'!$F$10+MAX(0,E51-'Founder &amp; Capital'!$F$6-'Founder &amp; Capital'!$F$7)*(1-Assumptions!$E$71)</f>
        <v>3655121.93598505</v>
      </c>
    </row>
    <row r="55" customFormat="false" ht="15" hidden="false" customHeight="false" outlineLevel="0" collapsed="false">
      <c r="A55" s="6" t="s">
        <v>381</v>
      </c>
      <c r="B55" s="7"/>
      <c r="C55" s="7"/>
      <c r="D55" s="7"/>
      <c r="E55" s="7"/>
      <c r="F55" s="7"/>
      <c r="G55" s="7"/>
      <c r="H55" s="7"/>
    </row>
    <row r="56" customFormat="false" ht="15" hidden="false" customHeight="false" outlineLevel="0" collapsed="false">
      <c r="A56" s="3" t="s">
        <v>349</v>
      </c>
    </row>
    <row r="57" customFormat="false" ht="54.75" hidden="false" customHeight="true" outlineLevel="0" collapsed="false">
      <c r="A57" s="40" t="s">
        <v>382</v>
      </c>
      <c r="B57" s="40"/>
      <c r="C57" s="40"/>
      <c r="D57" s="40"/>
      <c r="E57" s="40"/>
      <c r="F57" s="40"/>
      <c r="G57" s="40"/>
      <c r="H57" s="40"/>
    </row>
    <row r="58" customFormat="false" ht="15" hidden="false" customHeight="false" outlineLevel="0" collapsed="false">
      <c r="A58" s="3" t="s">
        <v>350</v>
      </c>
    </row>
    <row r="59" customFormat="false" ht="54.75" hidden="false" customHeight="true" outlineLevel="0" collapsed="false">
      <c r="A59" s="40" t="s">
        <v>383</v>
      </c>
      <c r="B59" s="40"/>
      <c r="C59" s="40"/>
      <c r="D59" s="40"/>
      <c r="E59" s="40"/>
      <c r="F59" s="40"/>
      <c r="G59" s="40"/>
      <c r="H59" s="40"/>
    </row>
    <row r="60" customFormat="false" ht="15" hidden="false" customHeight="false" outlineLevel="0" collapsed="false">
      <c r="A60" s="3" t="s">
        <v>351</v>
      </c>
    </row>
    <row r="61" customFormat="false" ht="54.75" hidden="false" customHeight="true" outlineLevel="0" collapsed="false">
      <c r="A61" s="40" t="s">
        <v>384</v>
      </c>
      <c r="B61" s="40"/>
      <c r="C61" s="40"/>
      <c r="D61" s="40"/>
      <c r="E61" s="40"/>
      <c r="F61" s="40"/>
      <c r="G61" s="40"/>
      <c r="H61" s="40"/>
    </row>
    <row r="63" customFormat="false" ht="15" hidden="false" customHeight="false" outlineLevel="0" collapsed="false">
      <c r="A63" s="6" t="s">
        <v>385</v>
      </c>
      <c r="B63" s="7"/>
      <c r="C63" s="7"/>
      <c r="D63" s="7"/>
      <c r="E63" s="7"/>
      <c r="F63" s="7"/>
      <c r="G63" s="7"/>
      <c r="H63" s="7"/>
    </row>
    <row r="64" customFormat="false" ht="90" hidden="false" customHeight="true" outlineLevel="0" collapsed="false">
      <c r="A64" s="40" t="s">
        <v>386</v>
      </c>
      <c r="B64" s="40"/>
      <c r="C64" s="40"/>
      <c r="D64" s="40"/>
      <c r="E64" s="40"/>
      <c r="F64" s="40"/>
      <c r="G64" s="40"/>
      <c r="H64" s="40"/>
    </row>
  </sheetData>
  <mergeCells count="4">
    <mergeCell ref="A57:H57"/>
    <mergeCell ref="A59:H59"/>
    <mergeCell ref="A61:H61"/>
    <mergeCell ref="A64:H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387</v>
      </c>
    </row>
    <row r="3" customFormat="false" ht="35.05" hidden="false" customHeight="false" outlineLevel="0" collapsed="false">
      <c r="A3" s="33" t="s">
        <v>388</v>
      </c>
    </row>
    <row r="5" customFormat="false" ht="15" hidden="false" customHeight="false" outlineLevel="0" collapsed="false">
      <c r="A5" s="6" t="s">
        <v>389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3" t="s">
        <v>390</v>
      </c>
      <c r="B6" s="41" t="n">
        <v>10</v>
      </c>
      <c r="C6" s="41" t="n">
        <v>25</v>
      </c>
      <c r="D6" s="41" t="n">
        <v>50</v>
      </c>
      <c r="E6" s="41" t="n">
        <v>100</v>
      </c>
      <c r="F6" s="41" t="n">
        <v>250</v>
      </c>
    </row>
    <row r="7" customFormat="false" ht="15" hidden="false" customHeight="false" outlineLevel="0" collapsed="false">
      <c r="A7" s="2" t="s">
        <v>391</v>
      </c>
      <c r="B7" s="42" t="n">
        <f aca="false">(Assumptions!$E$18*Assumptions!$E$15+Assumptions!$E$19*Assumptions!$E$16+Assumptions!$E$20*Assumptions!$E$17)</f>
        <v>1.88</v>
      </c>
      <c r="C7" s="42" t="n">
        <f aca="false">(Assumptions!$E$18*Assumptions!$E$15+Assumptions!$E$19*Assumptions!$E$16+Assumptions!$E$20*Assumptions!$E$17)</f>
        <v>1.88</v>
      </c>
      <c r="D7" s="42" t="n">
        <f aca="false">(Assumptions!$E$18*Assumptions!$E$15+Assumptions!$E$19*Assumptions!$E$16+Assumptions!$E$20*Assumptions!$E$17)</f>
        <v>1.88</v>
      </c>
      <c r="E7" s="42" t="n">
        <f aca="false">(Assumptions!$E$18*Assumptions!$E$15+Assumptions!$E$19*Assumptions!$E$16+Assumptions!$E$20*Assumptions!$E$17)</f>
        <v>1.88</v>
      </c>
      <c r="F7" s="42" t="n">
        <f aca="false">(Assumptions!$E$18*Assumptions!$E$15+Assumptions!$E$19*Assumptions!$E$16+Assumptions!$E$20*Assumptions!$E$17)</f>
        <v>1.88</v>
      </c>
    </row>
    <row r="8" customFormat="false" ht="15" hidden="false" customHeight="false" outlineLevel="0" collapsed="false">
      <c r="A8" s="3" t="s">
        <v>392</v>
      </c>
      <c r="B8" s="17" t="n">
        <f aca="false">B6/B7</f>
        <v>5.31914893617021</v>
      </c>
      <c r="C8" s="17" t="n">
        <f aca="false">C6/C7</f>
        <v>13.2978723404255</v>
      </c>
      <c r="D8" s="17" t="n">
        <f aca="false">D6/D7</f>
        <v>26.5957446808511</v>
      </c>
      <c r="E8" s="17" t="n">
        <f aca="false">E6/E7</f>
        <v>53.1914893617021</v>
      </c>
      <c r="F8" s="17" t="n">
        <f aca="false">F6/F7</f>
        <v>132.978723404255</v>
      </c>
    </row>
    <row r="9" customFormat="false" ht="15" hidden="false" customHeight="false" outlineLevel="0" collapsed="false">
      <c r="A9" s="3" t="s">
        <v>393</v>
      </c>
      <c r="B9" s="20" t="n">
        <f aca="false">B8*(Assumptions!$E$18*Assumptions!$E$15*Assumptions!$E$12+Assumptions!$E$19*Assumptions!$E$16*Assumptions!$E$13+Assumptions!$E$20*Assumptions!$E$17*Assumptions!$E$14)*1000000</f>
        <v>914893.617021277</v>
      </c>
      <c r="C9" s="20" t="n">
        <f aca="false">C8*(Assumptions!$E$18*Assumptions!$E$15*Assumptions!$E$12+Assumptions!$E$19*Assumptions!$E$16*Assumptions!$E$13+Assumptions!$E$20*Assumptions!$E$17*Assumptions!$E$14)*1000000</f>
        <v>2287234.04255319</v>
      </c>
      <c r="D9" s="20" t="n">
        <f aca="false">D8*(Assumptions!$E$18*Assumptions!$E$15*Assumptions!$E$12+Assumptions!$E$19*Assumptions!$E$16*Assumptions!$E$13+Assumptions!$E$20*Assumptions!$E$17*Assumptions!$E$14)*1000000</f>
        <v>4574468.08510638</v>
      </c>
      <c r="E9" s="20" t="n">
        <f aca="false">E8*(Assumptions!$E$18*Assumptions!$E$15*Assumptions!$E$12+Assumptions!$E$19*Assumptions!$E$16*Assumptions!$E$13+Assumptions!$E$20*Assumptions!$E$17*Assumptions!$E$14)*1000000</f>
        <v>9148936.17021277</v>
      </c>
      <c r="F9" s="20" t="n">
        <f aca="false">F8*(Assumptions!$E$18*Assumptions!$E$15*Assumptions!$E$12+Assumptions!$E$19*Assumptions!$E$16*Assumptions!$E$13+Assumptions!$E$20*Assumptions!$E$17*Assumptions!$E$14)*1000000</f>
        <v>22872340.4255319</v>
      </c>
    </row>
    <row r="10" customFormat="false" ht="15" hidden="false" customHeight="false" outlineLevel="0" collapsed="false">
      <c r="A10" s="2" t="s">
        <v>394</v>
      </c>
      <c r="B10" s="23" t="n">
        <f aca="false">B8/Assumptions!$E$7</f>
        <v>0.000559910414333707</v>
      </c>
      <c r="C10" s="23" t="n">
        <f aca="false">C8/Assumptions!$E$7</f>
        <v>0.00139977603583427</v>
      </c>
      <c r="D10" s="23" t="n">
        <f aca="false">D8/Assumptions!$E$7</f>
        <v>0.00279955207166853</v>
      </c>
      <c r="E10" s="23" t="n">
        <f aca="false">E8/Assumptions!$E$7</f>
        <v>0.00559910414333707</v>
      </c>
      <c r="F10" s="23" t="n">
        <f aca="false">F8/Assumptions!$E$7</f>
        <v>0.0139977603583427</v>
      </c>
    </row>
    <row r="11" customFormat="false" ht="15" hidden="false" customHeight="false" outlineLevel="0" collapsed="false">
      <c r="A11" s="6" t="s">
        <v>395</v>
      </c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2" t="s">
        <v>396</v>
      </c>
      <c r="B12" s="12" t="n">
        <v>0.2</v>
      </c>
      <c r="C12" s="12" t="n">
        <v>0.25</v>
      </c>
      <c r="D12" s="12" t="n">
        <v>0.3</v>
      </c>
      <c r="E12" s="12" t="n">
        <v>0.35</v>
      </c>
      <c r="F12" s="12" t="n">
        <v>0.4</v>
      </c>
    </row>
    <row r="13" customFormat="false" ht="15" hidden="false" customHeight="false" outlineLevel="0" collapsed="false">
      <c r="A13" s="2" t="s">
        <v>397</v>
      </c>
      <c r="B13" s="12" t="n">
        <v>0.3</v>
      </c>
      <c r="C13" s="12" t="n">
        <v>0.35</v>
      </c>
      <c r="D13" s="12" t="n">
        <v>0.35</v>
      </c>
      <c r="E13" s="12" t="n">
        <v>0.35</v>
      </c>
      <c r="F13" s="12" t="n">
        <v>0.35</v>
      </c>
    </row>
    <row r="14" customFormat="false" ht="15" hidden="false" customHeight="false" outlineLevel="0" collapsed="false">
      <c r="A14" s="2" t="s">
        <v>398</v>
      </c>
      <c r="B14" s="12" t="n">
        <v>0.4</v>
      </c>
      <c r="C14" s="12" t="n">
        <v>0.3</v>
      </c>
      <c r="D14" s="12" t="n">
        <v>0.25</v>
      </c>
      <c r="E14" s="12" t="n">
        <v>0.2</v>
      </c>
      <c r="F14" s="12" t="n">
        <v>0.15</v>
      </c>
    </row>
    <row r="15" customFormat="false" ht="15" hidden="false" customHeight="false" outlineLevel="0" collapsed="false">
      <c r="A15" s="2" t="s">
        <v>399</v>
      </c>
      <c r="B15" s="12" t="n">
        <v>0.1</v>
      </c>
      <c r="C15" s="12" t="n">
        <v>0.1</v>
      </c>
      <c r="D15" s="12" t="n">
        <v>0.1</v>
      </c>
      <c r="E15" s="12" t="n">
        <v>0.1</v>
      </c>
      <c r="F15" s="12" t="n">
        <v>0.1</v>
      </c>
    </row>
    <row r="16" customFormat="false" ht="15" hidden="false" customHeight="false" outlineLevel="0" collapsed="false">
      <c r="A16" s="2" t="s">
        <v>400</v>
      </c>
      <c r="B16" s="29" t="n">
        <f aca="false">SUM(B12:B15)</f>
        <v>1</v>
      </c>
      <c r="C16" s="29" t="n">
        <f aca="false">SUM(C12:C15)</f>
        <v>1</v>
      </c>
      <c r="D16" s="29" t="n">
        <f aca="false">SUM(D12:D15)</f>
        <v>1</v>
      </c>
      <c r="E16" s="29" t="n">
        <f aca="false">SUM(E12:E15)</f>
        <v>1</v>
      </c>
      <c r="F16" s="29" t="n">
        <f aca="false">SUM(F12:F15)</f>
        <v>1</v>
      </c>
    </row>
    <row r="17" customFormat="false" ht="15" hidden="false" customHeight="false" outlineLevel="0" collapsed="false">
      <c r="A17" s="6" t="s">
        <v>401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3" t="s">
        <v>402</v>
      </c>
      <c r="B18" s="17" t="n">
        <f aca="false">B8*B$12</f>
        <v>1.06382978723404</v>
      </c>
      <c r="C18" s="17" t="n">
        <f aca="false">C8*C$12</f>
        <v>3.32446808510638</v>
      </c>
      <c r="D18" s="17" t="n">
        <f aca="false">D8*D$12</f>
        <v>7.97872340425532</v>
      </c>
      <c r="E18" s="17" t="n">
        <f aca="false">E8*E$12</f>
        <v>18.6170212765957</v>
      </c>
      <c r="F18" s="17" t="n">
        <f aca="false">F8*F$12</f>
        <v>53.1914893617021</v>
      </c>
    </row>
    <row r="19" customFormat="false" ht="15" hidden="false" customHeight="false" outlineLevel="0" collapsed="false">
      <c r="A19" s="2" t="s">
        <v>403</v>
      </c>
      <c r="B19" s="26" t="n">
        <f aca="false">B18/Assumptions!$E$77</f>
        <v>1.32978723404255</v>
      </c>
      <c r="C19" s="26" t="n">
        <f aca="false">C18/Assumptions!$E$77</f>
        <v>4.15558510638298</v>
      </c>
      <c r="D19" s="26" t="n">
        <f aca="false">D18/Assumptions!$E$77</f>
        <v>9.97340425531915</v>
      </c>
      <c r="E19" s="26" t="n">
        <f aca="false">E18/Assumptions!$E$77</f>
        <v>23.2712765957447</v>
      </c>
      <c r="F19" s="26" t="n">
        <f aca="false">F18/Assumptions!$E$77</f>
        <v>66.4893617021277</v>
      </c>
    </row>
    <row r="20" customFormat="false" ht="15" hidden="false" customHeight="false" outlineLevel="0" collapsed="false">
      <c r="A20" s="2" t="s">
        <v>404</v>
      </c>
      <c r="B20" s="26" t="n">
        <f aca="false">B19/Assumptions!$E$76</f>
        <v>2.41779497098646</v>
      </c>
      <c r="C20" s="26" t="n">
        <f aca="false">C19/Assumptions!$E$76</f>
        <v>7.55560928433269</v>
      </c>
      <c r="D20" s="26" t="n">
        <f aca="false">D19/Assumptions!$E$76</f>
        <v>18.1334622823984</v>
      </c>
      <c r="E20" s="26" t="n">
        <f aca="false">E19/Assumptions!$E$76</f>
        <v>42.3114119922631</v>
      </c>
      <c r="F20" s="26" t="n">
        <f aca="false">F19/Assumptions!$E$76</f>
        <v>120.889748549323</v>
      </c>
    </row>
    <row r="21" customFormat="false" ht="15" hidden="false" customHeight="false" outlineLevel="0" collapsed="false">
      <c r="A21" s="2" t="s">
        <v>405</v>
      </c>
      <c r="B21" s="26" t="n">
        <f aca="false">B20*Assumptions!$E$99</f>
        <v>7.25338491295938</v>
      </c>
      <c r="C21" s="26" t="n">
        <f aca="false">C20*Assumptions!$E$99</f>
        <v>22.6668278529981</v>
      </c>
      <c r="D21" s="26" t="n">
        <f aca="false">D20*Assumptions!$E$99</f>
        <v>54.4003868471953</v>
      </c>
      <c r="E21" s="26" t="n">
        <f aca="false">E20*Assumptions!$E$99</f>
        <v>126.934235976789</v>
      </c>
      <c r="F21" s="26" t="n">
        <f aca="false">F20*Assumptions!$E$99</f>
        <v>362.669245647969</v>
      </c>
    </row>
    <row r="22" customFormat="false" ht="15" hidden="false" customHeight="false" outlineLevel="0" collapsed="false">
      <c r="A22" s="2" t="s">
        <v>406</v>
      </c>
      <c r="B22" s="26" t="n">
        <f aca="false">B20/Assumptions!$E$75</f>
        <v>6.04448742746615</v>
      </c>
      <c r="C22" s="26" t="n">
        <f aca="false">C20/Assumptions!$E$75</f>
        <v>18.8890232108317</v>
      </c>
      <c r="D22" s="26" t="n">
        <f aca="false">D20/Assumptions!$E$75</f>
        <v>45.3336557059961</v>
      </c>
      <c r="E22" s="26" t="n">
        <f aca="false">E20/Assumptions!$E$75</f>
        <v>105.778529980658</v>
      </c>
      <c r="F22" s="26" t="n">
        <f aca="false">F20/Assumptions!$E$75</f>
        <v>302.224371373307</v>
      </c>
    </row>
    <row r="23" customFormat="false" ht="15" hidden="false" customHeight="false" outlineLevel="0" collapsed="false">
      <c r="A23" s="3" t="s">
        <v>407</v>
      </c>
      <c r="B23" s="27" t="n">
        <f aca="false">B22/Assumptions!$E$74</f>
        <v>17.2699640784747</v>
      </c>
      <c r="C23" s="27" t="n">
        <f aca="false">C22/Assumptions!$E$74</f>
        <v>53.9686377452335</v>
      </c>
      <c r="D23" s="27" t="n">
        <f aca="false">D22/Assumptions!$E$74</f>
        <v>129.52473058856</v>
      </c>
      <c r="E23" s="27" t="n">
        <f aca="false">E22/Assumptions!$E$74</f>
        <v>302.224371373307</v>
      </c>
      <c r="F23" s="27" t="n">
        <f aca="false">F22/Assumptions!$E$74</f>
        <v>863.498203923736</v>
      </c>
    </row>
    <row r="24" customFormat="false" ht="15" hidden="false" customHeight="false" outlineLevel="0" collapsed="false">
      <c r="A24" s="2" t="s">
        <v>408</v>
      </c>
      <c r="B24" s="24" t="n">
        <f aca="false">B23/Assumptions!$E$27</f>
        <v>1726.99640784747</v>
      </c>
      <c r="C24" s="24" t="n">
        <f aca="false">C23/Assumptions!$E$27</f>
        <v>5396.86377452335</v>
      </c>
      <c r="D24" s="24" t="n">
        <f aca="false">D23/Assumptions!$E$27</f>
        <v>12952.473058856</v>
      </c>
      <c r="E24" s="24" t="n">
        <f aca="false">E23/Assumptions!$E$27</f>
        <v>30222.4371373307</v>
      </c>
      <c r="F24" s="24" t="n">
        <f aca="false">F23/Assumptions!$E$27</f>
        <v>86349.8203923736</v>
      </c>
    </row>
    <row r="25" customFormat="false" ht="15" hidden="false" customHeight="false" outlineLevel="0" collapsed="false">
      <c r="A25" s="2" t="s">
        <v>409</v>
      </c>
      <c r="B25" s="24" t="n">
        <f aca="false">B23/Assumptions!$E$27/12</f>
        <v>143.916367320623</v>
      </c>
      <c r="C25" s="24" t="n">
        <f aca="false">C23/Assumptions!$E$27/12</f>
        <v>449.738647876946</v>
      </c>
      <c r="D25" s="24" t="n">
        <f aca="false">D23/Assumptions!$E$27/12</f>
        <v>1079.37275490467</v>
      </c>
      <c r="E25" s="24" t="n">
        <f aca="false">E23/Assumptions!$E$27/12</f>
        <v>2518.5364281109</v>
      </c>
      <c r="F25" s="24" t="n">
        <f aca="false">F23/Assumptions!$E$27/12</f>
        <v>7195.81836603113</v>
      </c>
    </row>
    <row r="26" customFormat="false" ht="15" hidden="false" customHeight="false" outlineLevel="0" collapsed="false">
      <c r="A26" s="6" t="s">
        <v>410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3" t="s">
        <v>402</v>
      </c>
      <c r="B27" s="17" t="n">
        <f aca="false">B8*B$13</f>
        <v>1.59574468085106</v>
      </c>
      <c r="C27" s="17" t="n">
        <f aca="false">C8*C$13</f>
        <v>4.65425531914894</v>
      </c>
      <c r="D27" s="17" t="n">
        <f aca="false">D8*D$13</f>
        <v>9.30851063829787</v>
      </c>
      <c r="E27" s="17" t="n">
        <f aca="false">E8*E$13</f>
        <v>18.6170212765957</v>
      </c>
      <c r="F27" s="17" t="n">
        <f aca="false">F8*F$13</f>
        <v>46.5425531914894</v>
      </c>
    </row>
    <row r="28" customFormat="false" ht="15" hidden="false" customHeight="false" outlineLevel="0" collapsed="false">
      <c r="A28" s="2" t="s">
        <v>403</v>
      </c>
      <c r="B28" s="26" t="n">
        <f aca="false">B27/Assumptions!$E$83</f>
        <v>2.12765957446809</v>
      </c>
      <c r="C28" s="26" t="n">
        <f aca="false">C27/Assumptions!$E$83</f>
        <v>6.20567375886525</v>
      </c>
      <c r="D28" s="26" t="n">
        <f aca="false">D27/Assumptions!$E$83</f>
        <v>12.4113475177305</v>
      </c>
      <c r="E28" s="26" t="n">
        <f aca="false">E27/Assumptions!$E$83</f>
        <v>24.822695035461</v>
      </c>
      <c r="F28" s="26" t="n">
        <f aca="false">F27/Assumptions!$E$83</f>
        <v>62.0567375886525</v>
      </c>
    </row>
    <row r="29" customFormat="false" ht="15" hidden="false" customHeight="false" outlineLevel="0" collapsed="false">
      <c r="A29" s="2" t="s">
        <v>404</v>
      </c>
      <c r="B29" s="26" t="n">
        <f aca="false">B28/Assumptions!$E$82</f>
        <v>4.72813238770686</v>
      </c>
      <c r="C29" s="26" t="n">
        <f aca="false">C28/Assumptions!$E$82</f>
        <v>13.7903861308117</v>
      </c>
      <c r="D29" s="26" t="n">
        <f aca="false">D28/Assumptions!$E$82</f>
        <v>27.5807722616233</v>
      </c>
      <c r="E29" s="26" t="n">
        <f aca="false">E28/Assumptions!$E$82</f>
        <v>55.1615445232467</v>
      </c>
      <c r="F29" s="26" t="n">
        <f aca="false">F28/Assumptions!$E$82</f>
        <v>137.903861308117</v>
      </c>
    </row>
    <row r="30" customFormat="false" ht="15" hidden="false" customHeight="false" outlineLevel="0" collapsed="false">
      <c r="A30" s="2" t="s">
        <v>405</v>
      </c>
      <c r="B30" s="26" t="n">
        <f aca="false">B29*Assumptions!$E$99</f>
        <v>14.1843971631206</v>
      </c>
      <c r="C30" s="26" t="n">
        <f aca="false">C29*Assumptions!$E$99</f>
        <v>41.371158392435</v>
      </c>
      <c r="D30" s="26" t="n">
        <f aca="false">D29*Assumptions!$E$99</f>
        <v>82.74231678487</v>
      </c>
      <c r="E30" s="26" t="n">
        <f aca="false">E29*Assumptions!$E$99</f>
        <v>165.48463356974</v>
      </c>
      <c r="F30" s="26" t="n">
        <f aca="false">F29*Assumptions!$E$99</f>
        <v>413.71158392435</v>
      </c>
    </row>
    <row r="31" customFormat="false" ht="15" hidden="false" customHeight="false" outlineLevel="0" collapsed="false">
      <c r="A31" s="2" t="s">
        <v>406</v>
      </c>
      <c r="B31" s="26" t="n">
        <f aca="false">B29/Assumptions!$E$81</f>
        <v>13.5089496791624</v>
      </c>
      <c r="C31" s="26" t="n">
        <f aca="false">C29/Assumptions!$E$81</f>
        <v>39.4011032308905</v>
      </c>
      <c r="D31" s="26" t="n">
        <f aca="false">D29/Assumptions!$E$81</f>
        <v>78.8022064617809</v>
      </c>
      <c r="E31" s="26" t="n">
        <f aca="false">E29/Assumptions!$E$81</f>
        <v>157.604412923562</v>
      </c>
      <c r="F31" s="26" t="n">
        <f aca="false">F29/Assumptions!$E$81</f>
        <v>394.011032308905</v>
      </c>
    </row>
    <row r="32" customFormat="false" ht="15" hidden="false" customHeight="false" outlineLevel="0" collapsed="false">
      <c r="A32" s="3" t="s">
        <v>407</v>
      </c>
      <c r="B32" s="27" t="n">
        <f aca="false">B31/Assumptions!$E$80</f>
        <v>30.0198881759165</v>
      </c>
      <c r="C32" s="27" t="n">
        <f aca="false">C31/Assumptions!$E$80</f>
        <v>87.5580071797566</v>
      </c>
      <c r="D32" s="27" t="n">
        <f aca="false">D31/Assumptions!$E$80</f>
        <v>175.116014359513</v>
      </c>
      <c r="E32" s="27" t="n">
        <f aca="false">E31/Assumptions!$E$80</f>
        <v>350.232028719026</v>
      </c>
      <c r="F32" s="27" t="n">
        <f aca="false">F31/Assumptions!$E$80</f>
        <v>875.580071797566</v>
      </c>
    </row>
    <row r="33" customFormat="false" ht="15" hidden="false" customHeight="false" outlineLevel="0" collapsed="false">
      <c r="A33" s="2" t="s">
        <v>411</v>
      </c>
      <c r="B33" s="24" t="n">
        <f aca="false">B32/Assumptions!$E$79</f>
        <v>300.198881759165</v>
      </c>
      <c r="C33" s="24" t="n">
        <f aca="false">C32/Assumptions!$E$79</f>
        <v>875.580071797566</v>
      </c>
      <c r="D33" s="24" t="n">
        <f aca="false">D32/Assumptions!$E$79</f>
        <v>1751.16014359513</v>
      </c>
      <c r="E33" s="24" t="n">
        <f aca="false">E32/Assumptions!$E$79</f>
        <v>3502.32028719026</v>
      </c>
      <c r="F33" s="24" t="n">
        <f aca="false">F32/Assumptions!$E$79</f>
        <v>8755.80071797566</v>
      </c>
    </row>
    <row r="34" customFormat="false" ht="15" hidden="false" customHeight="false" outlineLevel="0" collapsed="false">
      <c r="A34" s="2" t="s">
        <v>412</v>
      </c>
      <c r="B34" s="24" t="n">
        <f aca="false">B32/Assumptions!$E$79/Assumptions!$E$34</f>
        <v>3752.48602198957</v>
      </c>
      <c r="C34" s="24" t="n">
        <f aca="false">C32/Assumptions!$E$79/Assumptions!$E$34</f>
        <v>10944.7508974696</v>
      </c>
      <c r="D34" s="24" t="n">
        <f aca="false">D32/Assumptions!$E$79/Assumptions!$E$34</f>
        <v>21889.5017949391</v>
      </c>
      <c r="E34" s="24" t="n">
        <f aca="false">E32/Assumptions!$E$79/Assumptions!$E$34</f>
        <v>43779.0035898783</v>
      </c>
      <c r="F34" s="24" t="n">
        <f aca="false">F32/Assumptions!$E$79/Assumptions!$E$34</f>
        <v>109447.508974696</v>
      </c>
    </row>
    <row r="35" customFormat="false" ht="15" hidden="false" customHeight="false" outlineLevel="0" collapsed="false">
      <c r="A35" s="2" t="s">
        <v>413</v>
      </c>
      <c r="B35" s="24" t="n">
        <f aca="false">B32/Assumptions!$E$79/Assumptions!$E$34/Assumptions!$E$84</f>
        <v>625.414336998261</v>
      </c>
      <c r="C35" s="24" t="n">
        <f aca="false">C32/Assumptions!$E$79/Assumptions!$E$34/Assumptions!$E$84</f>
        <v>1824.12514957826</v>
      </c>
      <c r="D35" s="24" t="n">
        <f aca="false">D32/Assumptions!$E$79/Assumptions!$E$34/Assumptions!$E$84</f>
        <v>3648.25029915652</v>
      </c>
      <c r="E35" s="24" t="n">
        <f aca="false">E32/Assumptions!$E$79/Assumptions!$E$34/Assumptions!$E$84</f>
        <v>7296.50059831305</v>
      </c>
      <c r="F35" s="24" t="n">
        <f aca="false">F32/Assumptions!$E$79/Assumptions!$E$34/Assumptions!$E$84</f>
        <v>18241.2514957826</v>
      </c>
    </row>
    <row r="36" customFormat="false" ht="15" hidden="false" customHeight="false" outlineLevel="0" collapsed="false">
      <c r="A36" s="6" t="s">
        <v>414</v>
      </c>
      <c r="B36" s="7"/>
      <c r="C36" s="7"/>
      <c r="D36" s="7"/>
      <c r="E36" s="7"/>
      <c r="F36" s="7"/>
      <c r="G36" s="7"/>
    </row>
    <row r="37" customFormat="false" ht="15" hidden="false" customHeight="false" outlineLevel="0" collapsed="false">
      <c r="A37" s="3" t="s">
        <v>402</v>
      </c>
      <c r="B37" s="17" t="n">
        <f aca="false">B8*B$14</f>
        <v>2.12765957446809</v>
      </c>
      <c r="C37" s="17" t="n">
        <f aca="false">C8*C$14</f>
        <v>3.98936170212766</v>
      </c>
      <c r="D37" s="17" t="n">
        <f aca="false">D8*D$14</f>
        <v>6.64893617021277</v>
      </c>
      <c r="E37" s="17" t="n">
        <f aca="false">E8*E$14</f>
        <v>10.6382978723404</v>
      </c>
      <c r="F37" s="17" t="n">
        <f aca="false">F8*F$14</f>
        <v>19.9468085106383</v>
      </c>
    </row>
    <row r="38" customFormat="false" ht="15" hidden="false" customHeight="false" outlineLevel="0" collapsed="false">
      <c r="A38" s="2" t="s">
        <v>403</v>
      </c>
      <c r="B38" s="26" t="n">
        <f aca="false">B37/Assumptions!$E$89</f>
        <v>2.50312891113892</v>
      </c>
      <c r="C38" s="26" t="n">
        <f aca="false">C37/Assumptions!$E$89</f>
        <v>4.69336670838548</v>
      </c>
      <c r="D38" s="26" t="n">
        <f aca="false">D37/Assumptions!$E$89</f>
        <v>7.82227784730914</v>
      </c>
      <c r="E38" s="26" t="n">
        <f aca="false">E37/Assumptions!$E$89</f>
        <v>12.5156445556946</v>
      </c>
      <c r="F38" s="26" t="n">
        <f aca="false">F37/Assumptions!$E$89</f>
        <v>23.4668335419274</v>
      </c>
    </row>
    <row r="39" customFormat="false" ht="15" hidden="false" customHeight="false" outlineLevel="0" collapsed="false">
      <c r="A39" s="2" t="s">
        <v>404</v>
      </c>
      <c r="B39" s="26" t="n">
        <f aca="false">B38/Assumptions!$E$88</f>
        <v>3.57589844448418</v>
      </c>
      <c r="C39" s="26" t="n">
        <f aca="false">C38/Assumptions!$E$88</f>
        <v>6.70480958340783</v>
      </c>
      <c r="D39" s="26" t="n">
        <f aca="false">D38/Assumptions!$E$88</f>
        <v>11.1746826390131</v>
      </c>
      <c r="E39" s="26" t="n">
        <f aca="false">E38/Assumptions!$E$88</f>
        <v>17.8794922224209</v>
      </c>
      <c r="F39" s="26" t="n">
        <f aca="false">F38/Assumptions!$E$88</f>
        <v>33.5240479170392</v>
      </c>
    </row>
    <row r="40" customFormat="false" ht="15" hidden="false" customHeight="false" outlineLevel="0" collapsed="false">
      <c r="A40" s="2" t="s">
        <v>405</v>
      </c>
      <c r="B40" s="26" t="n">
        <f aca="false">B39*Assumptions!$E$99</f>
        <v>10.7276953334525</v>
      </c>
      <c r="C40" s="26" t="n">
        <f aca="false">C39*Assumptions!$E$99</f>
        <v>20.1144287502235</v>
      </c>
      <c r="D40" s="26" t="n">
        <f aca="false">D39*Assumptions!$E$99</f>
        <v>33.5240479170392</v>
      </c>
      <c r="E40" s="26" t="n">
        <f aca="false">E39*Assumptions!$E$99</f>
        <v>53.6384766672627</v>
      </c>
      <c r="F40" s="26" t="n">
        <f aca="false">F39*Assumptions!$E$99</f>
        <v>100.572143751117</v>
      </c>
    </row>
    <row r="41" customFormat="false" ht="15" hidden="false" customHeight="false" outlineLevel="0" collapsed="false">
      <c r="A41" s="2" t="s">
        <v>406</v>
      </c>
      <c r="B41" s="26" t="n">
        <f aca="false">B39/Assumptions!$E$87</f>
        <v>5.50138222228335</v>
      </c>
      <c r="C41" s="26" t="n">
        <f aca="false">C39/Assumptions!$E$87</f>
        <v>10.3150916667813</v>
      </c>
      <c r="D41" s="26" t="n">
        <f aca="false">D39/Assumptions!$E$87</f>
        <v>17.1918194446355</v>
      </c>
      <c r="E41" s="26" t="n">
        <f aca="false">E39/Assumptions!$E$87</f>
        <v>27.5069111114168</v>
      </c>
      <c r="F41" s="26" t="n">
        <f aca="false">F39/Assumptions!$E$87</f>
        <v>51.5754583339064</v>
      </c>
    </row>
    <row r="42" customFormat="false" ht="15" hidden="false" customHeight="false" outlineLevel="0" collapsed="false">
      <c r="A42" s="3" t="s">
        <v>407</v>
      </c>
      <c r="B42" s="27" t="n">
        <f aca="false">B41/Assumptions!$E$86</f>
        <v>7.3351762963778</v>
      </c>
      <c r="C42" s="27" t="n">
        <f aca="false">C41/Assumptions!$E$86</f>
        <v>13.7534555557084</v>
      </c>
      <c r="D42" s="27" t="n">
        <f aca="false">D41/Assumptions!$E$86</f>
        <v>22.9224259261806</v>
      </c>
      <c r="E42" s="27" t="n">
        <f aca="false">E41/Assumptions!$E$86</f>
        <v>36.675881481889</v>
      </c>
      <c r="F42" s="27" t="n">
        <f aca="false">F41/Assumptions!$E$86</f>
        <v>68.7672777785419</v>
      </c>
    </row>
    <row r="43" customFormat="false" ht="15" hidden="false" customHeight="false" outlineLevel="0" collapsed="false">
      <c r="A43" s="2" t="s">
        <v>415</v>
      </c>
      <c r="B43" s="24" t="n">
        <f aca="false">B42/Assumptions!$E$90</f>
        <v>9.78023506183707</v>
      </c>
      <c r="C43" s="24" t="n">
        <f aca="false">C42/Assumptions!$E$90</f>
        <v>18.3379407409445</v>
      </c>
      <c r="D43" s="24" t="n">
        <f aca="false">D42/Assumptions!$E$90</f>
        <v>30.5632345682408</v>
      </c>
      <c r="E43" s="24" t="n">
        <f aca="false">E42/Assumptions!$E$90</f>
        <v>48.9011753091853</v>
      </c>
      <c r="F43" s="24" t="n">
        <f aca="false">F42/Assumptions!$E$90</f>
        <v>91.6897037047225</v>
      </c>
    </row>
    <row r="44" customFormat="false" ht="15" hidden="false" customHeight="false" outlineLevel="0" collapsed="false">
      <c r="A44" s="6" t="s">
        <v>416</v>
      </c>
      <c r="B44" s="7"/>
      <c r="C44" s="7"/>
      <c r="D44" s="7"/>
      <c r="E44" s="7"/>
      <c r="F44" s="7"/>
      <c r="G44" s="7"/>
    </row>
    <row r="45" customFormat="false" ht="15" hidden="false" customHeight="false" outlineLevel="0" collapsed="false">
      <c r="A45" s="3" t="s">
        <v>402</v>
      </c>
      <c r="B45" s="17" t="n">
        <f aca="false">B8*B$15</f>
        <v>0.531914893617021</v>
      </c>
      <c r="C45" s="17" t="n">
        <f aca="false">C8*C$15</f>
        <v>1.32978723404255</v>
      </c>
      <c r="D45" s="17" t="n">
        <f aca="false">D8*D$15</f>
        <v>2.65957446808511</v>
      </c>
      <c r="E45" s="17" t="n">
        <f aca="false">E8*E$15</f>
        <v>5.31914893617021</v>
      </c>
      <c r="F45" s="17" t="n">
        <f aca="false">F8*F$15</f>
        <v>13.2978723404255</v>
      </c>
    </row>
    <row r="46" customFormat="false" ht="15" hidden="false" customHeight="false" outlineLevel="0" collapsed="false">
      <c r="A46" s="2" t="s">
        <v>403</v>
      </c>
      <c r="B46" s="26" t="n">
        <f aca="false">B45/Assumptions!$E$96</f>
        <v>0.664893617021277</v>
      </c>
      <c r="C46" s="26" t="n">
        <f aca="false">C45/Assumptions!$E$96</f>
        <v>1.66223404255319</v>
      </c>
      <c r="D46" s="26" t="n">
        <f aca="false">D45/Assumptions!$E$96</f>
        <v>3.32446808510638</v>
      </c>
      <c r="E46" s="26" t="n">
        <f aca="false">E45/Assumptions!$E$96</f>
        <v>6.64893617021277</v>
      </c>
      <c r="F46" s="26" t="n">
        <f aca="false">F45/Assumptions!$E$96</f>
        <v>16.6223404255319</v>
      </c>
    </row>
    <row r="47" customFormat="false" ht="15" hidden="false" customHeight="false" outlineLevel="0" collapsed="false">
      <c r="A47" s="2" t="s">
        <v>404</v>
      </c>
      <c r="B47" s="26" t="n">
        <f aca="false">B46/Assumptions!$E$95</f>
        <v>1.10815602836879</v>
      </c>
      <c r="C47" s="26" t="n">
        <f aca="false">C46/Assumptions!$E$95</f>
        <v>2.77039007092199</v>
      </c>
      <c r="D47" s="26" t="n">
        <f aca="false">D46/Assumptions!$E$95</f>
        <v>5.54078014184397</v>
      </c>
      <c r="E47" s="26" t="n">
        <f aca="false">E46/Assumptions!$E$95</f>
        <v>11.0815602836879</v>
      </c>
      <c r="F47" s="26" t="n">
        <f aca="false">F46/Assumptions!$E$95</f>
        <v>27.7039007092199</v>
      </c>
    </row>
    <row r="48" customFormat="false" ht="15" hidden="false" customHeight="false" outlineLevel="0" collapsed="false">
      <c r="A48" s="2" t="s">
        <v>405</v>
      </c>
      <c r="B48" s="26" t="n">
        <f aca="false">B47*Assumptions!$E$99</f>
        <v>3.32446808510638</v>
      </c>
      <c r="C48" s="26" t="n">
        <f aca="false">C47*Assumptions!$E$99</f>
        <v>8.31117021276596</v>
      </c>
      <c r="D48" s="26" t="n">
        <f aca="false">D47*Assumptions!$E$99</f>
        <v>16.6223404255319</v>
      </c>
      <c r="E48" s="26" t="n">
        <f aca="false">E47*Assumptions!$E$99</f>
        <v>33.2446808510638</v>
      </c>
      <c r="F48" s="26" t="n">
        <f aca="false">F47*Assumptions!$E$99</f>
        <v>83.1117021276596</v>
      </c>
    </row>
    <row r="49" customFormat="false" ht="15" hidden="false" customHeight="false" outlineLevel="0" collapsed="false">
      <c r="A49" s="2" t="s">
        <v>406</v>
      </c>
      <c r="B49" s="26" t="n">
        <f aca="false">B47/Assumptions!$E$94</f>
        <v>2.21631205673759</v>
      </c>
      <c r="C49" s="26" t="n">
        <f aca="false">C47/Assumptions!$E$94</f>
        <v>5.54078014184397</v>
      </c>
      <c r="D49" s="26" t="n">
        <f aca="false">D47/Assumptions!$E$94</f>
        <v>11.0815602836879</v>
      </c>
      <c r="E49" s="26" t="n">
        <f aca="false">E47/Assumptions!$E$94</f>
        <v>22.1631205673759</v>
      </c>
      <c r="F49" s="26" t="n">
        <f aca="false">F47/Assumptions!$E$94</f>
        <v>55.4078014184397</v>
      </c>
    </row>
    <row r="50" customFormat="false" ht="15" hidden="false" customHeight="false" outlineLevel="0" collapsed="false">
      <c r="A50" s="3" t="s">
        <v>407</v>
      </c>
      <c r="B50" s="27" t="n">
        <f aca="false">B49/Assumptions!$E$93</f>
        <v>4.02965828497743</v>
      </c>
      <c r="C50" s="27" t="n">
        <f aca="false">C49/Assumptions!$E$93</f>
        <v>10.0741457124436</v>
      </c>
      <c r="D50" s="27" t="n">
        <f aca="false">D49/Assumptions!$E$93</f>
        <v>20.1482914248872</v>
      </c>
      <c r="E50" s="27" t="n">
        <f aca="false">E49/Assumptions!$E$93</f>
        <v>40.2965828497743</v>
      </c>
      <c r="F50" s="27" t="n">
        <f aca="false">F49/Assumptions!$E$93</f>
        <v>100.741457124436</v>
      </c>
    </row>
    <row r="51" customFormat="false" ht="15" hidden="false" customHeight="false" outlineLevel="0" collapsed="false">
      <c r="A51" s="2" t="s">
        <v>417</v>
      </c>
      <c r="B51" s="24" t="n">
        <f aca="false">B50/Assumptions!$E$92</f>
        <v>20.1482914248872</v>
      </c>
      <c r="C51" s="24" t="n">
        <f aca="false">C50/Assumptions!$E$92</f>
        <v>50.3707285622179</v>
      </c>
      <c r="D51" s="24" t="n">
        <f aca="false">D50/Assumptions!$E$92</f>
        <v>100.741457124436</v>
      </c>
      <c r="E51" s="24" t="n">
        <f aca="false">E50/Assumptions!$E$92</f>
        <v>201.482914248872</v>
      </c>
      <c r="F51" s="24" t="n">
        <f aca="false">F50/Assumptions!$E$92</f>
        <v>503.707285622179</v>
      </c>
    </row>
    <row r="52" customFormat="false" ht="15" hidden="false" customHeight="false" outlineLevel="0" collapsed="false">
      <c r="A52" s="2" t="s">
        <v>418</v>
      </c>
      <c r="B52" s="26" t="n">
        <f aca="false">B50/Assumptions!$E$97</f>
        <v>0.805931656995487</v>
      </c>
      <c r="C52" s="26" t="n">
        <f aca="false">C50/Assumptions!$E$97</f>
        <v>2.01482914248872</v>
      </c>
      <c r="D52" s="26" t="n">
        <f aca="false">D50/Assumptions!$E$97</f>
        <v>4.02965828497743</v>
      </c>
      <c r="E52" s="26" t="n">
        <f aca="false">E50/Assumptions!$E$97</f>
        <v>8.05931656995487</v>
      </c>
      <c r="F52" s="26" t="n">
        <f aca="false">F50/Assumptions!$E$97</f>
        <v>20.1482914248872</v>
      </c>
    </row>
    <row r="53" customFormat="false" ht="15" hidden="false" customHeight="false" outlineLevel="0" collapsed="false">
      <c r="A53" s="6" t="s">
        <v>419</v>
      </c>
      <c r="B53" s="7"/>
      <c r="C53" s="7"/>
      <c r="D53" s="7"/>
      <c r="E53" s="7"/>
      <c r="F53" s="7"/>
      <c r="G53" s="7"/>
    </row>
    <row r="54" customFormat="false" ht="15" hidden="false" customHeight="false" outlineLevel="0" collapsed="false">
      <c r="A54" s="2" t="s">
        <v>420</v>
      </c>
      <c r="B54" s="28" t="n">
        <f aca="false">B23+B32+B42+B50</f>
        <v>58.6546868357465</v>
      </c>
      <c r="C54" s="28" t="n">
        <f aca="false">C23+C32+C42+C50</f>
        <v>165.354246193142</v>
      </c>
      <c r="D54" s="28" t="n">
        <f aca="false">D23+D32+D42+D50</f>
        <v>347.711462299141</v>
      </c>
      <c r="E54" s="28" t="n">
        <f aca="false">E23+E32+E42+E50</f>
        <v>729.428864423997</v>
      </c>
      <c r="F54" s="28" t="n">
        <f aca="false">F23+F32+F42+F50</f>
        <v>1908.58701062428</v>
      </c>
    </row>
    <row r="55" customFormat="false" ht="15" hidden="false" customHeight="false" outlineLevel="0" collapsed="false">
      <c r="A55" s="2" t="s">
        <v>421</v>
      </c>
      <c r="B55" s="28" t="n">
        <f aca="false">B22+B31+B41+B49</f>
        <v>27.2711313856495</v>
      </c>
      <c r="C55" s="28" t="n">
        <f aca="false">C22+C31+C41+C49</f>
        <v>74.1459982503474</v>
      </c>
      <c r="D55" s="28" t="n">
        <f aca="false">D22+D31+D41+D49</f>
        <v>152.4092418961</v>
      </c>
      <c r="E55" s="28" t="n">
        <f aca="false">E22+E31+E41+E49</f>
        <v>313.052974583012</v>
      </c>
      <c r="F55" s="28" t="n">
        <f aca="false">F22+F31+F41+F49</f>
        <v>803.218663434558</v>
      </c>
    </row>
    <row r="56" customFormat="false" ht="15" hidden="false" customHeight="false" outlineLevel="0" collapsed="false">
      <c r="A56" s="2" t="s">
        <v>422</v>
      </c>
      <c r="B56" s="28" t="n">
        <f aca="false">B20+B29+B39+B47</f>
        <v>11.8299818315463</v>
      </c>
      <c r="C56" s="28" t="n">
        <f aca="false">C20+C29+C39+C47</f>
        <v>30.8211950694742</v>
      </c>
      <c r="D56" s="28" t="n">
        <f aca="false">D20+D29+D39+D47</f>
        <v>62.4296973248788</v>
      </c>
      <c r="E56" s="28" t="n">
        <f aca="false">E20+E29+E39+E47</f>
        <v>126.434009021619</v>
      </c>
      <c r="F56" s="28" t="n">
        <f aca="false">F20+F29+F39+F47</f>
        <v>320.021558483699</v>
      </c>
    </row>
    <row r="57" customFormat="false" ht="15" hidden="false" customHeight="false" outlineLevel="0" collapsed="false">
      <c r="A57" s="2" t="s">
        <v>423</v>
      </c>
      <c r="B57" s="28" t="n">
        <f aca="false">B21+B30+B40+B48</f>
        <v>35.4899454946389</v>
      </c>
      <c r="C57" s="28" t="n">
        <f aca="false">C21+C30+C40+C48</f>
        <v>92.4635852084225</v>
      </c>
      <c r="D57" s="28" t="n">
        <f aca="false">D21+D30+D40+D48</f>
        <v>187.289091974636</v>
      </c>
      <c r="E57" s="28" t="n">
        <f aca="false">E21+E30+E40+E48</f>
        <v>379.302027064856</v>
      </c>
      <c r="F57" s="28" t="n">
        <f aca="false">F21+F30+F40+F48</f>
        <v>960.064675451096</v>
      </c>
    </row>
    <row r="58" customFormat="false" ht="15" hidden="false" customHeight="false" outlineLevel="0" collapsed="false">
      <c r="A58" s="2" t="s">
        <v>424</v>
      </c>
      <c r="B58" s="28" t="n">
        <f aca="false">B19+B28+B38+B46</f>
        <v>6.62546933667084</v>
      </c>
      <c r="C58" s="28" t="n">
        <f aca="false">C19+C28+C38+C46</f>
        <v>16.7168596161869</v>
      </c>
      <c r="D58" s="28" t="n">
        <f aca="false">D19+D28+D38+D46</f>
        <v>33.5314977054652</v>
      </c>
      <c r="E58" s="28" t="n">
        <f aca="false">E19+E28+E38+E46</f>
        <v>67.2585523571131</v>
      </c>
      <c r="F58" s="28" t="n">
        <f aca="false">F19+F28+F38+F46</f>
        <v>168.635273258239</v>
      </c>
    </row>
    <row r="59" customFormat="false" ht="15" hidden="false" customHeight="false" outlineLevel="0" collapsed="false">
      <c r="A59" s="3" t="s">
        <v>425</v>
      </c>
      <c r="B59" s="17" t="n">
        <f aca="false">B18+B27+B37+B45</f>
        <v>5.31914893617021</v>
      </c>
      <c r="C59" s="17" t="n">
        <f aca="false">C18+C27+C37+C45</f>
        <v>13.2978723404255</v>
      </c>
      <c r="D59" s="17" t="n">
        <f aca="false">D18+D27+D37+D45</f>
        <v>26.5957446808511</v>
      </c>
      <c r="E59" s="17" t="n">
        <f aca="false">E18+E27+E37+E45</f>
        <v>53.1914893617021</v>
      </c>
      <c r="F59" s="17" t="n">
        <f aca="false">F18+F27+F37+F45</f>
        <v>132.978723404255</v>
      </c>
    </row>
    <row r="60" customFormat="false" ht="15" hidden="false" customHeight="false" outlineLevel="0" collapsed="false">
      <c r="A60" s="6" t="s">
        <v>426</v>
      </c>
      <c r="B60" s="7"/>
      <c r="C60" s="7"/>
      <c r="D60" s="7"/>
      <c r="E60" s="7"/>
      <c r="F60" s="7"/>
      <c r="G60" s="7"/>
    </row>
    <row r="61" customFormat="false" ht="15" hidden="false" customHeight="false" outlineLevel="0" collapsed="false">
      <c r="A61" s="2" t="s">
        <v>427</v>
      </c>
      <c r="B61" s="26" t="n">
        <f aca="false">(Assumptions!$E$32*Assumptions!$E$33*Assumptions!$E$34*Assumptions!$E$79*Assumptions!$E$80*Assumptions!$E$81*Assumptions!$E$82*Assumptions!$E$83)</f>
        <v>5.86845</v>
      </c>
      <c r="C61" s="26" t="n">
        <f aca="false">(Assumptions!$E$32*Assumptions!$E$33*Assumptions!$E$34*Assumptions!$E$79*Assumptions!$E$80*Assumptions!$E$81*Assumptions!$E$82*Assumptions!$E$83)</f>
        <v>5.86845</v>
      </c>
      <c r="D61" s="26" t="n">
        <f aca="false">(Assumptions!$E$32*Assumptions!$E$33*Assumptions!$E$34*Assumptions!$E$79*Assumptions!$E$80*Assumptions!$E$81*Assumptions!$E$82*Assumptions!$E$83)</f>
        <v>5.86845</v>
      </c>
      <c r="E61" s="26" t="n">
        <f aca="false">(Assumptions!$E$32*Assumptions!$E$33*Assumptions!$E$34*Assumptions!$E$79*Assumptions!$E$80*Assumptions!$E$81*Assumptions!$E$82*Assumptions!$E$83)</f>
        <v>5.86845</v>
      </c>
      <c r="F61" s="26" t="n">
        <f aca="false">(Assumptions!$E$32*Assumptions!$E$33*Assumptions!$E$34*Assumptions!$E$79*Assumptions!$E$80*Assumptions!$E$81*Assumptions!$E$82*Assumptions!$E$83)</f>
        <v>5.86845</v>
      </c>
    </row>
    <row r="62" customFormat="false" ht="15" hidden="false" customHeight="false" outlineLevel="0" collapsed="false">
      <c r="A62" s="2" t="s">
        <v>428</v>
      </c>
      <c r="B62" s="28" t="n">
        <f aca="false">B27/B61</f>
        <v>0.271919276955766</v>
      </c>
      <c r="C62" s="28" t="n">
        <f aca="false">C27/C61</f>
        <v>0.793097891120983</v>
      </c>
      <c r="D62" s="28" t="n">
        <f aca="false">D27/D61</f>
        <v>1.58619578224197</v>
      </c>
      <c r="E62" s="28" t="n">
        <f aca="false">E27/E61</f>
        <v>3.17239156448393</v>
      </c>
      <c r="F62" s="28" t="n">
        <f aca="false">F27/F61</f>
        <v>7.93097891120983</v>
      </c>
    </row>
    <row r="63" customFormat="false" ht="15" hidden="false" customHeight="false" outlineLevel="0" collapsed="false">
      <c r="A63" s="2" t="s">
        <v>429</v>
      </c>
      <c r="B63" s="26" t="n">
        <f aca="false">MAX(0,B59-Assumptions!$E$101)/Assumptions!$E$100</f>
        <v>0</v>
      </c>
      <c r="C63" s="26" t="n">
        <f aca="false">MAX(0,C59-Assumptions!$E$101)/Assumptions!$E$100</f>
        <v>0.912234042553191</v>
      </c>
      <c r="D63" s="26" t="n">
        <f aca="false">MAX(0,D59-Assumptions!$E$101)/Assumptions!$E$100</f>
        <v>2.57446808510638</v>
      </c>
      <c r="E63" s="26" t="n">
        <f aca="false">MAX(0,E59-Assumptions!$E$101)/Assumptions!$E$100</f>
        <v>5.89893617021277</v>
      </c>
      <c r="F63" s="26" t="n">
        <f aca="false">MAX(0,F59-Assumptions!$E$101)/Assumptions!$E$100</f>
        <v>15.8723404255319</v>
      </c>
    </row>
    <row r="64" customFormat="false" ht="15" hidden="false" customHeight="false" outlineLevel="0" collapsed="false">
      <c r="A64" s="3" t="s">
        <v>430</v>
      </c>
      <c r="B64" s="9" t="n">
        <f aca="false">ROUNDUP(MAX(B62,B63),0)</f>
        <v>1</v>
      </c>
      <c r="C64" s="9" t="n">
        <f aca="false">ROUNDUP(MAX(C62,C63),0)</f>
        <v>1</v>
      </c>
      <c r="D64" s="9" t="n">
        <f aca="false">ROUNDUP(MAX(D62,D63),0)</f>
        <v>3</v>
      </c>
      <c r="E64" s="9" t="n">
        <f aca="false">ROUNDUP(MAX(E62,E63),0)</f>
        <v>6</v>
      </c>
      <c r="F64" s="9" t="n">
        <f aca="false">ROUNDUP(MAX(F62,F63),0)</f>
        <v>16</v>
      </c>
    </row>
    <row r="65" customFormat="false" ht="15" hidden="false" customHeight="false" outlineLevel="0" collapsed="false">
      <c r="A65" s="2" t="s">
        <v>431</v>
      </c>
      <c r="B65" s="24" t="n">
        <f aca="false">ROUNDUP(B64/Assumptions!$E$102,0)</f>
        <v>1</v>
      </c>
      <c r="C65" s="24" t="n">
        <f aca="false">ROUNDUP(C64/Assumptions!$E$102,0)</f>
        <v>1</v>
      </c>
      <c r="D65" s="24" t="n">
        <f aca="false">ROUNDUP(D64/Assumptions!$E$102,0)</f>
        <v>1</v>
      </c>
      <c r="E65" s="24" t="n">
        <f aca="false">ROUNDUP(E64/Assumptions!$E$102,0)</f>
        <v>2</v>
      </c>
      <c r="F65" s="24" t="n">
        <f aca="false">ROUNDUP(F64/Assumptions!$E$102,0)</f>
        <v>4</v>
      </c>
    </row>
    <row r="66" customFormat="false" ht="15" hidden="false" customHeight="false" outlineLevel="0" collapsed="false">
      <c r="A66" s="3" t="s">
        <v>432</v>
      </c>
      <c r="B66" s="9" t="n">
        <f aca="false">1+B64+B65</f>
        <v>3</v>
      </c>
      <c r="C66" s="9" t="n">
        <f aca="false">1+C64+C65</f>
        <v>3</v>
      </c>
      <c r="D66" s="9" t="n">
        <f aca="false">1+D64+D65</f>
        <v>5</v>
      </c>
      <c r="E66" s="9" t="n">
        <f aca="false">1+E64+E65</f>
        <v>9</v>
      </c>
      <c r="F66" s="9" t="n">
        <f aca="false">1+F64+F65</f>
        <v>21</v>
      </c>
    </row>
    <row r="68" customFormat="false" ht="57.45" hidden="false" customHeight="false" outlineLevel="0" collapsed="false">
      <c r="A68" s="33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434</v>
      </c>
    </row>
    <row r="3" customFormat="false" ht="15" hidden="false" customHeight="false" outlineLevel="0" collapsed="false">
      <c r="B3" s="21" t="s">
        <v>143</v>
      </c>
      <c r="C3" s="21" t="s">
        <v>144</v>
      </c>
      <c r="D3" s="21" t="s">
        <v>145</v>
      </c>
      <c r="E3" s="21" t="s">
        <v>146</v>
      </c>
      <c r="F3" s="21" t="s">
        <v>147</v>
      </c>
    </row>
    <row r="4" customFormat="false" ht="15" hidden="false" customHeight="false" outlineLevel="0" collapsed="false">
      <c r="A4" s="6" t="s">
        <v>435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3" t="s">
        <v>436</v>
      </c>
      <c r="B5" s="20" t="n">
        <f aca="false">'P&amp;L'!B19</f>
        <v>719809.6</v>
      </c>
      <c r="C5" s="20" t="n">
        <f aca="false">'P&amp;L'!C19</f>
        <v>1680943.28</v>
      </c>
      <c r="D5" s="20" t="n">
        <f aca="false">'P&amp;L'!D19</f>
        <v>3124134.54</v>
      </c>
      <c r="E5" s="20" t="n">
        <f aca="false">'P&amp;L'!E19</f>
        <v>5016712.605</v>
      </c>
      <c r="F5" s="20" t="n">
        <f aca="false">'P&amp;L'!F19</f>
        <v>7204358.25375</v>
      </c>
    </row>
    <row r="6" customFormat="false" ht="15" hidden="false" customHeight="false" outlineLevel="0" collapsed="false">
      <c r="A6" s="2" t="s">
        <v>437</v>
      </c>
      <c r="B6" s="22" t="n">
        <f aca="false">-'Cash Flow'!B9-'Cash Flow'!B10</f>
        <v>90059.2</v>
      </c>
      <c r="C6" s="22" t="n">
        <f aca="false">-'Cash Flow'!C9-'Cash Flow'!C10</f>
        <v>136039.96</v>
      </c>
      <c r="D6" s="22" t="n">
        <f aca="false">-'Cash Flow'!D9-'Cash Flow'!D10</f>
        <v>215297.56</v>
      </c>
      <c r="E6" s="22" t="n">
        <f aca="false">-'Cash Flow'!E9-'Cash Flow'!E10</f>
        <v>287675.16</v>
      </c>
      <c r="F6" s="22" t="n">
        <f aca="false">-'Cash Flow'!F9-'Cash Flow'!F10</f>
        <v>340513.56</v>
      </c>
    </row>
    <row r="7" customFormat="false" ht="15" hidden="false" customHeight="false" outlineLevel="0" collapsed="false">
      <c r="A7" s="2" t="s">
        <v>438</v>
      </c>
      <c r="B7" s="22" t="n">
        <f aca="false">'Cash Flow'!B14</f>
        <v>119700</v>
      </c>
      <c r="C7" s="22" t="n">
        <f aca="false">MAX(0,'Cash Flow'!C14-'Cash Flow'!B14)</f>
        <v>21195</v>
      </c>
      <c r="D7" s="22" t="n">
        <f aca="false">MAX(0,'Cash Flow'!D14-'Cash Flow'!C14)</f>
        <v>60323.25</v>
      </c>
      <c r="E7" s="22" t="n">
        <f aca="false">MAX(0,'Cash Flow'!E14-'Cash Flow'!D14)</f>
        <v>29786.8875000001</v>
      </c>
      <c r="F7" s="22" t="n">
        <f aca="false">MAX(0,'Cash Flow'!F14-'Cash Flow'!E14)</f>
        <v>26805.3356249999</v>
      </c>
    </row>
    <row r="8" customFormat="false" ht="15" hidden="false" customHeight="false" outlineLevel="0" collapsed="false">
      <c r="A8" s="3" t="s">
        <v>365</v>
      </c>
      <c r="B8" s="19" t="n">
        <f aca="false">B5-B6-B7</f>
        <v>510050.4</v>
      </c>
      <c r="C8" s="19" t="n">
        <f aca="false">C5-C6-C7</f>
        <v>1523708.32</v>
      </c>
      <c r="D8" s="19" t="n">
        <f aca="false">D5-D6-D7</f>
        <v>2848513.73</v>
      </c>
      <c r="E8" s="19" t="n">
        <f aca="false">E5-E6-E7</f>
        <v>4699250.5575</v>
      </c>
      <c r="F8" s="19" t="n">
        <f aca="false">F5-F6-F7</f>
        <v>6837039.358125</v>
      </c>
    </row>
    <row r="9" customFormat="false" ht="15" hidden="false" customHeight="false" outlineLevel="0" collapsed="false">
      <c r="A9" s="2" t="s">
        <v>439</v>
      </c>
      <c r="B9" s="22" t="n">
        <f aca="false">MAX(0,B8)*Assumptions!$E$71</f>
        <v>127512.6</v>
      </c>
      <c r="C9" s="22" t="n">
        <f aca="false">MAX(0,C8)*Assumptions!$E$71</f>
        <v>380927.08</v>
      </c>
      <c r="D9" s="22" t="n">
        <f aca="false">MAX(0,D8)*Assumptions!$E$71</f>
        <v>712128.4325</v>
      </c>
      <c r="E9" s="22" t="n">
        <f aca="false">MAX(0,E8)*Assumptions!$E$71</f>
        <v>1174812.639375</v>
      </c>
      <c r="F9" s="22" t="n">
        <f aca="false">MAX(0,F8)*Assumptions!$E$71</f>
        <v>1709259.83953125</v>
      </c>
    </row>
    <row r="10" customFormat="false" ht="15" hidden="false" customHeight="false" outlineLevel="0" collapsed="false">
      <c r="A10" s="3" t="s">
        <v>440</v>
      </c>
      <c r="B10" s="19" t="n">
        <f aca="false">MAX(0,B8-B9)</f>
        <v>382537.8</v>
      </c>
      <c r="C10" s="19" t="n">
        <f aca="false">MAX(0,C8-C9)</f>
        <v>1142781.24</v>
      </c>
      <c r="D10" s="19" t="n">
        <f aca="false">MAX(0,D8-D9)</f>
        <v>2136385.2975</v>
      </c>
      <c r="E10" s="19" t="n">
        <f aca="false">MAX(0,E8-E9)</f>
        <v>3524437.918125</v>
      </c>
      <c r="F10" s="19" t="n">
        <f aca="false">MAX(0,F8-F9)</f>
        <v>5127779.51859375</v>
      </c>
    </row>
    <row r="11" customFormat="false" ht="15" hidden="false" customHeight="false" outlineLevel="0" collapsed="false">
      <c r="A11" s="6" t="s">
        <v>441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2" t="s">
        <v>232</v>
      </c>
      <c r="B12" s="22" t="n">
        <f aca="false">'Hiring &amp; Expenses'!B10</f>
        <v>96000</v>
      </c>
      <c r="C12" s="22" t="n">
        <f aca="false">'Hiring &amp; Expenses'!C10</f>
        <v>105600</v>
      </c>
      <c r="D12" s="22" t="n">
        <f aca="false">'Hiring &amp; Expenses'!D10</f>
        <v>116160</v>
      </c>
      <c r="E12" s="22" t="n">
        <f aca="false">'Hiring &amp; Expenses'!E10</f>
        <v>127776</v>
      </c>
      <c r="F12" s="22" t="n">
        <f aca="false">'Hiring &amp; Expenses'!F10</f>
        <v>140553.6</v>
      </c>
    </row>
    <row r="13" customFormat="false" ht="15" hidden="false" customHeight="false" outlineLevel="0" collapsed="false">
      <c r="A13" s="3" t="s">
        <v>442</v>
      </c>
      <c r="B13" s="19" t="n">
        <f aca="false">B12+B10</f>
        <v>478537.8</v>
      </c>
      <c r="C13" s="19" t="n">
        <f aca="false">C12+C10</f>
        <v>1248381.24</v>
      </c>
      <c r="D13" s="19" t="n">
        <f aca="false">D12+D10</f>
        <v>2252545.2975</v>
      </c>
      <c r="E13" s="19" t="n">
        <f aca="false">E12+E10</f>
        <v>3652213.918125</v>
      </c>
      <c r="F13" s="19" t="n">
        <f aca="false">F12+F10</f>
        <v>5268333.11859375</v>
      </c>
    </row>
    <row r="14" customFormat="false" ht="15" hidden="false" customHeight="false" outlineLevel="0" collapsed="false">
      <c r="A14" s="2" t="s">
        <v>443</v>
      </c>
      <c r="B14" s="32" t="n">
        <f aca="false">B13</f>
        <v>478537.8</v>
      </c>
      <c r="C14" s="32" t="n">
        <f aca="false">B14+C13</f>
        <v>1726919.04</v>
      </c>
      <c r="D14" s="32" t="n">
        <f aca="false">C14+D13</f>
        <v>3979464.3375</v>
      </c>
      <c r="E14" s="32" t="n">
        <f aca="false">D14+E13</f>
        <v>7631678.255625</v>
      </c>
      <c r="F14" s="32" t="n">
        <f aca="false">E14+F13</f>
        <v>12900011.3742187</v>
      </c>
    </row>
    <row r="15" customFormat="false" ht="15" hidden="false" customHeight="false" outlineLevel="0" collapsed="false">
      <c r="A15" s="2" t="s">
        <v>444</v>
      </c>
      <c r="B15" s="43" t="n">
        <f aca="false">B14/Assumptions!$E$72</f>
        <v>4.785378</v>
      </c>
      <c r="C15" s="43" t="n">
        <f aca="false">C14/Assumptions!$E$72</f>
        <v>17.2691904</v>
      </c>
      <c r="D15" s="43" t="n">
        <f aca="false">D14/Assumptions!$E$72</f>
        <v>39.794643375</v>
      </c>
      <c r="E15" s="43" t="n">
        <f aca="false">E14/Assumptions!$E$72</f>
        <v>76.31678255625</v>
      </c>
      <c r="F15" s="43" t="n">
        <f aca="false">F14/Assumptions!$E$72</f>
        <v>129.000113742187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2026-07-06T01:54:26Z</dcterms:created>
  <dc:creator>openpyxl</dc:creator>
  <dc:description/>
  <dc:language>en-US</dc:language>
  <cp:lastModifiedBy/>
  <dcterms:modified xsi:type="dcterms:W3CDTF">2026-07-06T01:54:26Z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