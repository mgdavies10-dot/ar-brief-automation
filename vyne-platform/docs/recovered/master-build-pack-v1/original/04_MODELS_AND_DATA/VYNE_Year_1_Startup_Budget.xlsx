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Discretionary &amp; Travel" sheetId="3" state="visible" r:id="rId5"/>
    <sheet name="Startup Costs" sheetId="4" state="visible" r:id="rId6"/>
    <sheet name="Year 1 Cash Flow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<sst xmlns="http://schemas.openxmlformats.org/spreadsheetml/2006/main" count="163" uniqueCount="132">
  <si>
    <t xml:space="preserve">VYNE STRATEGIES</t>
  </si>
  <si>
    <t xml:space="preserve">Year 1 Startup Budget - Summary</t>
  </si>
  <si>
    <t xml:space="preserve">One-time startup costs</t>
  </si>
  <si>
    <t xml:space="preserve">Monthly recurring — core opex (before Dakota)</t>
  </si>
  <si>
    <t xml:space="preserve">Annualized core opex (x12, before Dakota)</t>
  </si>
  <si>
    <t xml:space="preserve">Dakota (once triggered, annual)</t>
  </si>
  <si>
    <t xml:space="preserve">Monthly discretionary &amp; travel</t>
  </si>
  <si>
    <t xml:space="preserve">Annualized discretionary &amp; travel (x12)</t>
  </si>
  <si>
    <t xml:space="preserve">TOTAL YEAR 1 CASH OUT (per Cash Flow tab)</t>
  </si>
  <si>
    <t xml:space="preserve">Notes</t>
  </si>
  <si>
    <t xml:space="preserve">-  Google Workspace used in place of Microsoft 365, per your direction.</t>
  </si>
  <si>
    <t xml:space="preserve">-  CRM line is a placeholder - plug in your actual HubSpot or Salesforce tier once decided. Both support Claude API/MCP integration.</t>
  </si>
  <si>
    <t xml:space="preserve">-  Dakota is modeled as deferred spend - toggle its start month on the Assumptions tab once you hit your inbound trigger.</t>
  </si>
  <si>
    <t xml:space="preserve">-  Computer ($2,000), iPad ($2,000), apparel ($2,000), phone ($75/mo), and internet ($75/mo) are built in per your numbers.</t>
  </si>
  <si>
    <t xml:space="preserve">-  Tech/systems setup is estimated at $3,500 for a contractor to link your CRM, Claude API, connectors, and agents - flagged yellow on Assumptions since it's a placeholder until you get quotes.</t>
  </si>
  <si>
    <t xml:space="preserve">-  Entertainment ($1,000/mo) and travel (placeholder $500/mo) are tracked on a separate tab since they flex more and have different tax substantiation needs than core opex.</t>
  </si>
  <si>
    <t xml:space="preserve">-  Attorney review and trademark figures are estimates - confirm with your attorney before finalizing.</t>
  </si>
  <si>
    <t xml:space="preserve">-  This is a pre-revenue cost model. It does not include placement fee revenue or any personal salary draw.</t>
  </si>
  <si>
    <t xml:space="preserve">VYNE STRATEGIES — Year 1 Startup Budget</t>
  </si>
  <si>
    <t xml:space="preserve">Blue = editable inputs. Change any value here and the other tabs update automatically.</t>
  </si>
  <si>
    <t xml:space="preserve">MONTHLY RECURRING COSTS (core operating)</t>
  </si>
  <si>
    <t xml:space="preserve">Google Workspace (Business Standard, 1 user)</t>
  </si>
  <si>
    <t xml:space="preserve">Google's per-user list price</t>
  </si>
  <si>
    <t xml:space="preserve">CRM — HubSpot or Salesforce (placeholder)</t>
  </si>
  <si>
    <t xml:space="preserve">Update once you pick the platform; both connect to Claude via API/MCP</t>
  </si>
  <si>
    <t xml:space="preserve">Claude API budget (agents + connectors)</t>
  </si>
  <si>
    <t xml:space="preserve">Your stated budget</t>
  </si>
  <si>
    <t xml:space="preserve">LinkedIn Sales Navigator</t>
  </si>
  <si>
    <t xml:space="preserve">Core tier, single seat</t>
  </si>
  <si>
    <t xml:space="preserve">Domain + website hosting</t>
  </si>
  <si>
    <t xml:space="preserve">Static HTML site, minimal hosting</t>
  </si>
  <si>
    <t xml:space="preserve">QuickBooks Online (Simple Start)</t>
  </si>
  <si>
    <t xml:space="preserve">Upgrade to Essentials (~$65/mo) or Plus (~$99/mo) if needed</t>
  </si>
  <si>
    <t xml:space="preserve">Business insurance (E&amp;O + general liability)</t>
  </si>
  <si>
    <t xml:space="preserve">~$1,500/yr amortized monthly</t>
  </si>
  <si>
    <t xml:space="preserve">Cell phone</t>
  </si>
  <si>
    <t xml:space="preserve">Your stated cost</t>
  </si>
  <si>
    <t xml:space="preserve">Internet</t>
  </si>
  <si>
    <t xml:space="preserve">Virtual mailbox / business address</t>
  </si>
  <si>
    <t xml:space="preserve">Keeps address separate from employer/home</t>
  </si>
  <si>
    <t xml:space="preserve">Registered agent service</t>
  </si>
  <si>
    <t xml:space="preserve">~$200/yr amortized monthly</t>
  </si>
  <si>
    <t xml:space="preserve">Total monthly recurring (core)</t>
  </si>
  <si>
    <t xml:space="preserve">DEFERRED / TRIGGERED SPEND</t>
  </si>
  <si>
    <t xml:space="preserve">Dakota (data platform) — annual cost</t>
  </si>
  <si>
    <t xml:space="preserve">Deferred until inbound trigger is hit</t>
  </si>
  <si>
    <t xml:space="preserve">Dakota start month (1-12; use 13 = not this year)</t>
  </si>
  <si>
    <t xml:space="preserve">Editable - flip this on when you're ready</t>
  </si>
  <si>
    <t xml:space="preserve">ONE-TIME STARTUP COSTS (see Startup Costs tab for full detail)</t>
  </si>
  <si>
    <t xml:space="preserve">LLC filing (state fee, varies)</t>
  </si>
  <si>
    <t xml:space="preserve">Check your state's exact fee</t>
  </si>
  <si>
    <t xml:space="preserve">Registered agent - first year</t>
  </si>
  <si>
    <t xml:space="preserve">EIN (IRS)</t>
  </si>
  <si>
    <t xml:space="preserve">Free</t>
  </si>
  <si>
    <t xml:space="preserve">Operating agreement (template or light attorney review)</t>
  </si>
  <si>
    <t xml:space="preserve">Attorney review - privacy policy, ToS, client agreements</t>
  </si>
  <si>
    <t xml:space="preserve">Flagged in your docs as needed before launch</t>
  </si>
  <si>
    <t xml:space="preserve">Trademark filing - "VYNE" (USPTO + light attorney help)</t>
  </si>
  <si>
    <t xml:space="preserve">$350 USPTO base + ~$750 attorney assist</t>
  </si>
  <si>
    <t xml:space="preserve">Business insurance setup / first premium</t>
  </si>
  <si>
    <t xml:space="preserve">Captured in monthly recurring above</t>
  </si>
  <si>
    <t xml:space="preserve">Virtual mailbox setup fee</t>
  </si>
  <si>
    <t xml:space="preserve">Computer</t>
  </si>
  <si>
    <t xml:space="preserve">iPad</t>
  </si>
  <si>
    <t xml:space="preserve">Business cards / stationery</t>
  </si>
  <si>
    <t xml:space="preserve">Deferred - brand stays unnamed/institutional for now</t>
  </si>
  <si>
    <t xml:space="preserve">Apparel</t>
  </si>
  <si>
    <t xml:space="preserve">Tech/systems setup — contractor to link CRM, Claude API, connectors, agents</t>
  </si>
  <si>
    <t xml:space="preserve">Estimate for a freelance ops/integration contractor; adjust once you get quotes</t>
  </si>
  <si>
    <t xml:space="preserve">Total one-time startup costs</t>
  </si>
  <si>
    <t xml:space="preserve">VYNE STRATEGIES — Discretionary &amp; Travel Budget</t>
  </si>
  <si>
    <t xml:space="preserve">Kept separate from core opex — entertainment/travel spend has different tax substantiation rules and is easier to flex up/down.</t>
  </si>
  <si>
    <t xml:space="preserve">MONTHLY DISCRETIONARY SPEND</t>
  </si>
  <si>
    <t xml:space="preserve">Entertainment (client development, meals, etc.)</t>
  </si>
  <si>
    <t xml:space="preserve">Travel</t>
  </si>
  <si>
    <t xml:space="preserve">Placeholder — adjust to your actual travel plan (this can swing a lot month to month)</t>
  </si>
  <si>
    <t xml:space="preserve">Total monthly discretionary</t>
  </si>
  <si>
    <t xml:space="preserve">Annualized (x12)</t>
  </si>
  <si>
    <t xml:space="preserve">VYNE STRATEGIES — One-Time Startup Costs</t>
  </si>
  <si>
    <t xml:space="preserve">All figures link to the Assumptions tab.</t>
  </si>
  <si>
    <t xml:space="preserve">Item</t>
  </si>
  <si>
    <t xml:space="preserve">Category</t>
  </si>
  <si>
    <t xml:space="preserve">Cost</t>
  </si>
  <si>
    <t xml:space="preserve">LLC filing (state fee)</t>
  </si>
  <si>
    <t xml:space="preserve">Legal &amp; Formation</t>
  </si>
  <si>
    <t xml:space="preserve">Operating agreement</t>
  </si>
  <si>
    <t xml:space="preserve">Attorney review (privacy policy, ToS, client agreements)</t>
  </si>
  <si>
    <t xml:space="preserve">Trademark filing - "VYNE"</t>
  </si>
  <si>
    <t xml:space="preserve">Insurance setup</t>
  </si>
  <si>
    <t xml:space="preserve">Insurance</t>
  </si>
  <si>
    <t xml:space="preserve">Admin</t>
  </si>
  <si>
    <t xml:space="preserve">Equipment</t>
  </si>
  <si>
    <t xml:space="preserve">Branding</t>
  </si>
  <si>
    <t xml:space="preserve">Tech/systems setup — contractor</t>
  </si>
  <si>
    <t xml:space="preserve">Technology</t>
  </si>
  <si>
    <t xml:space="preserve">TOTAL ONE-TIME STARTUP COSTS</t>
  </si>
  <si>
    <t xml:space="preserve">By Category</t>
  </si>
  <si>
    <t xml:space="preserve">Subtotal</t>
  </si>
  <si>
    <t xml:space="preserve">VYNE STRATEGIES — Year 1 Monthly Cash Flow (Costs Only)</t>
  </si>
  <si>
    <t xml:space="preserve">Pre-revenue expense view. Monthly recurring links to Assumptions; one-time costs land in Month 1.</t>
  </si>
  <si>
    <t xml:space="preserve">Expense</t>
  </si>
  <si>
    <t xml:space="preserve">Mo 1</t>
  </si>
  <si>
    <t xml:space="preserve">Mo 2</t>
  </si>
  <si>
    <t xml:space="preserve">Mo 3</t>
  </si>
  <si>
    <t xml:space="preserve">Mo 4</t>
  </si>
  <si>
    <t xml:space="preserve">Mo 5</t>
  </si>
  <si>
    <t xml:space="preserve">Mo 6</t>
  </si>
  <si>
    <t xml:space="preserve">Mo 7</t>
  </si>
  <si>
    <t xml:space="preserve">Mo 8</t>
  </si>
  <si>
    <t xml:space="preserve">Mo 9</t>
  </si>
  <si>
    <t xml:space="preserve">Mo 10</t>
  </si>
  <si>
    <t xml:space="preserve">Mo 11</t>
  </si>
  <si>
    <t xml:space="preserve">Mo 12</t>
  </si>
  <si>
    <t xml:space="preserve">Total</t>
  </si>
  <si>
    <t xml:space="preserve">ONE-TIME STARTUP COSTS</t>
  </si>
  <si>
    <t xml:space="preserve">Startup costs (from Startup Costs tab)</t>
  </si>
  <si>
    <t xml:space="preserve">MONTHLY RECURRING (core opex)</t>
  </si>
  <si>
    <t xml:space="preserve">Google Workspace</t>
  </si>
  <si>
    <t xml:space="preserve">CRM (HubSpot / Salesforce)</t>
  </si>
  <si>
    <t xml:space="preserve">Claude API budget</t>
  </si>
  <si>
    <t xml:space="preserve">Domain + hosting</t>
  </si>
  <si>
    <t xml:space="preserve">QuickBooks Online</t>
  </si>
  <si>
    <t xml:space="preserve">Business insurance</t>
  </si>
  <si>
    <t xml:space="preserve">Virtual mailbox</t>
  </si>
  <si>
    <t xml:space="preserve">Registered agent (monthly amort.)</t>
  </si>
  <si>
    <t xml:space="preserve">Dakota (starts trigger month, /12)</t>
  </si>
  <si>
    <t xml:space="preserve">Subtotal - core recurring</t>
  </si>
  <si>
    <t xml:space="preserve">DISCRETIONARY &amp; TRAVEL</t>
  </si>
  <si>
    <t xml:space="preserve">Entertainment</t>
  </si>
  <si>
    <t xml:space="preserve">Subtotal - discretionary &amp; travel</t>
  </si>
  <si>
    <t xml:space="preserve">TOTAL MONTHLY SPEND</t>
  </si>
  <si>
    <t xml:space="preserve">Cumulative spend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</si>
</sst>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;&quot;($&quot;#,##0\);\-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234F3D"/>
      <name val="Arial"/>
      <family val="0"/>
      <charset val="1"/>
    </font>
    <font>
      <sz val="12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1"/>
      <color rgb="FF008000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234F3D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sz val="11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234F3D"/>
        <bgColor rgb="FF333300"/>
      </patternFill>
    </fill>
    <fill>
      <patternFill patternType="solid">
        <fgColor rgb="FFFFFDE7"/>
        <bgColor rgb="FFFFFFFF"/>
      </patternFill>
    </fill>
    <fill>
      <patternFill patternType="solid">
        <fgColor rgb="FFEFEFEF"/>
        <bgColor rgb="FFFFFDE7"/>
      </patternFill>
    </fill>
    <fill>
      <patternFill patternType="solid">
        <fgColor rgb="FFD9E2DC"/>
        <bgColor rgb="FFEFEFE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DE7"/>
      <rgbColor rgb="FFEFEFEF"/>
      <rgbColor rgb="FF660066"/>
      <rgbColor rgb="FFFF8080"/>
      <rgbColor rgb="FF0066CC"/>
      <rgbColor rgb="FFD9E2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34F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18"/>
    <col collapsed="false" customWidth="true" hidden="false" outlineLevel="0" max="4" min="4" style="0" width="55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5" hidden="false" customHeight="false" outlineLevel="0" collapsed="false">
      <c r="B5" s="3" t="s">
        <v>2</v>
      </c>
      <c r="C5" s="4" t="n">
        <f aca="false">Assumptions!C39</f>
        <v>13950</v>
      </c>
    </row>
    <row r="6" customFormat="false" ht="15" hidden="false" customHeight="false" outlineLevel="0" collapsed="false">
      <c r="B6" s="3" t="s">
        <v>3</v>
      </c>
      <c r="C6" s="4" t="n">
        <f aca="false">Assumptions!C18</f>
        <v>1126</v>
      </c>
    </row>
    <row r="7" customFormat="false" ht="15" hidden="false" customHeight="false" outlineLevel="0" collapsed="false">
      <c r="B7" s="3" t="s">
        <v>4</v>
      </c>
      <c r="C7" s="5" t="n">
        <f aca="false">C6*12</f>
        <v>13512</v>
      </c>
    </row>
    <row r="8" customFormat="false" ht="15" hidden="false" customHeight="false" outlineLevel="0" collapsed="false">
      <c r="B8" s="3" t="s">
        <v>5</v>
      </c>
      <c r="C8" s="4" t="n">
        <f aca="false">Assumptions!C21</f>
        <v>6000</v>
      </c>
    </row>
    <row r="9" customFormat="false" ht="15" hidden="false" customHeight="false" outlineLevel="0" collapsed="false">
      <c r="B9" s="3" t="s">
        <v>6</v>
      </c>
      <c r="C9" s="4" t="n">
        <f aca="false">'Discretionary &amp; Travel'!C9</f>
        <v>1500</v>
      </c>
    </row>
    <row r="10" customFormat="false" ht="15" hidden="false" customHeight="false" outlineLevel="0" collapsed="false">
      <c r="B10" s="3" t="s">
        <v>7</v>
      </c>
      <c r="C10" s="5" t="n">
        <f aca="false">C9*12</f>
        <v>18000</v>
      </c>
    </row>
    <row r="12" customFormat="false" ht="15" hidden="false" customHeight="false" outlineLevel="0" collapsed="false">
      <c r="B12" s="6" t="s">
        <v>8</v>
      </c>
      <c r="C12" s="7" t="n">
        <f aca="false">'Year 1 Cash Flow'!O30</f>
        <v>48462</v>
      </c>
    </row>
    <row r="15" customFormat="false" ht="15" hidden="false" customHeight="false" outlineLevel="0" collapsed="false">
      <c r="B15" s="8" t="s">
        <v>9</v>
      </c>
    </row>
    <row r="16" customFormat="false" ht="15" hidden="false" customHeight="true" outlineLevel="0" collapsed="false">
      <c r="B16" s="9" t="s">
        <v>10</v>
      </c>
      <c r="C16" s="9"/>
      <c r="D16" s="9"/>
    </row>
    <row r="17" customFormat="false" ht="26.85" hidden="false" customHeight="true" outlineLevel="0" collapsed="false">
      <c r="B17" s="9" t="s">
        <v>11</v>
      </c>
      <c r="C17" s="9"/>
      <c r="D17" s="9"/>
    </row>
    <row r="18" customFormat="false" ht="15" hidden="false" customHeight="true" outlineLevel="0" collapsed="false">
      <c r="B18" s="9" t="s">
        <v>12</v>
      </c>
      <c r="C18" s="9"/>
      <c r="D18" s="9"/>
    </row>
    <row r="19" customFormat="false" ht="15" hidden="false" customHeight="true" outlineLevel="0" collapsed="false">
      <c r="B19" s="9" t="s">
        <v>13</v>
      </c>
      <c r="C19" s="9"/>
      <c r="D19" s="9"/>
    </row>
    <row r="20" customFormat="false" ht="26.85" hidden="false" customHeight="true" outlineLevel="0" collapsed="false">
      <c r="B20" s="9" t="s">
        <v>14</v>
      </c>
      <c r="C20" s="9"/>
      <c r="D20" s="9"/>
    </row>
    <row r="21" customFormat="false" ht="26.85" hidden="false" customHeight="true" outlineLevel="0" collapsed="false">
      <c r="B21" s="9" t="s">
        <v>15</v>
      </c>
      <c r="C21" s="9"/>
      <c r="D21" s="9"/>
    </row>
    <row r="22" customFormat="false" ht="15" hidden="false" customHeight="true" outlineLevel="0" collapsed="false">
      <c r="B22" s="9" t="s">
        <v>16</v>
      </c>
      <c r="C22" s="9"/>
      <c r="D22" s="9"/>
    </row>
    <row r="23" customFormat="false" ht="15" hidden="false" customHeight="true" outlineLevel="0" collapsed="false">
      <c r="B23" s="9" t="s">
        <v>17</v>
      </c>
      <c r="C23" s="9"/>
      <c r="D23" s="9"/>
    </row>
  </sheetData>
  <mergeCells count="8">
    <mergeCell ref="B16:D16"/>
    <mergeCell ref="B17:D17"/>
    <mergeCell ref="B18:D18"/>
    <mergeCell ref="B19:D19"/>
    <mergeCell ref="B20:D20"/>
    <mergeCell ref="B21:D21"/>
    <mergeCell ref="B22:D22"/>
    <mergeCell ref="B23:D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6"/>
    <col collapsed="false" customWidth="true" hidden="false" outlineLevel="0" max="3" min="3" style="0" width="14"/>
    <col collapsed="false" customWidth="true" hidden="false" outlineLevel="0" max="4" min="4" style="0" width="54"/>
  </cols>
  <sheetData>
    <row r="2" customFormat="false" ht="19.7" hidden="false" customHeight="false" outlineLevel="0" collapsed="false">
      <c r="B2" s="1" t="s">
        <v>18</v>
      </c>
    </row>
    <row r="3" customFormat="false" ht="15" hidden="false" customHeight="false" outlineLevel="0" collapsed="false">
      <c r="B3" s="10" t="s">
        <v>19</v>
      </c>
    </row>
    <row r="5" customFormat="false" ht="15" hidden="false" customHeight="false" outlineLevel="0" collapsed="false">
      <c r="B5" s="11" t="s">
        <v>20</v>
      </c>
      <c r="C5" s="12"/>
      <c r="D5" s="12"/>
    </row>
    <row r="6" customFormat="false" ht="15" hidden="false" customHeight="false" outlineLevel="0" collapsed="false">
      <c r="B6" s="13" t="s">
        <v>21</v>
      </c>
      <c r="C6" s="14" t="n">
        <v>14</v>
      </c>
      <c r="D6" s="15" t="s">
        <v>22</v>
      </c>
    </row>
    <row r="7" customFormat="false" ht="15" hidden="false" customHeight="false" outlineLevel="0" collapsed="false">
      <c r="B7" s="13" t="s">
        <v>23</v>
      </c>
      <c r="C7" s="16" t="n">
        <v>150</v>
      </c>
      <c r="D7" s="15" t="s">
        <v>24</v>
      </c>
    </row>
    <row r="8" customFormat="false" ht="15" hidden="false" customHeight="false" outlineLevel="0" collapsed="false">
      <c r="B8" s="13" t="s">
        <v>25</v>
      </c>
      <c r="C8" s="14" t="n">
        <v>500</v>
      </c>
      <c r="D8" s="15" t="s">
        <v>26</v>
      </c>
    </row>
    <row r="9" customFormat="false" ht="15" hidden="false" customHeight="false" outlineLevel="0" collapsed="false">
      <c r="B9" s="13" t="s">
        <v>27</v>
      </c>
      <c r="C9" s="14" t="n">
        <v>100</v>
      </c>
      <c r="D9" s="15" t="s">
        <v>28</v>
      </c>
    </row>
    <row r="10" customFormat="false" ht="15" hidden="false" customHeight="false" outlineLevel="0" collapsed="false">
      <c r="B10" s="13" t="s">
        <v>29</v>
      </c>
      <c r="C10" s="14" t="n">
        <v>15</v>
      </c>
      <c r="D10" s="15" t="s">
        <v>30</v>
      </c>
    </row>
    <row r="11" customFormat="false" ht="15" hidden="false" customHeight="false" outlineLevel="0" collapsed="false">
      <c r="B11" s="13" t="s">
        <v>31</v>
      </c>
      <c r="C11" s="14" t="n">
        <v>35</v>
      </c>
      <c r="D11" s="15" t="s">
        <v>32</v>
      </c>
    </row>
    <row r="12" customFormat="false" ht="15" hidden="false" customHeight="false" outlineLevel="0" collapsed="false">
      <c r="B12" s="13" t="s">
        <v>33</v>
      </c>
      <c r="C12" s="14" t="n">
        <v>125</v>
      </c>
      <c r="D12" s="15" t="s">
        <v>34</v>
      </c>
    </row>
    <row r="13" customFormat="false" ht="15" hidden="false" customHeight="false" outlineLevel="0" collapsed="false">
      <c r="B13" s="13" t="s">
        <v>35</v>
      </c>
      <c r="C13" s="14" t="n">
        <v>75</v>
      </c>
      <c r="D13" s="15" t="s">
        <v>36</v>
      </c>
    </row>
    <row r="14" customFormat="false" ht="15" hidden="false" customHeight="false" outlineLevel="0" collapsed="false">
      <c r="B14" s="13" t="s">
        <v>37</v>
      </c>
      <c r="C14" s="14" t="n">
        <v>75</v>
      </c>
      <c r="D14" s="15" t="s">
        <v>36</v>
      </c>
    </row>
    <row r="15" customFormat="false" ht="15" hidden="false" customHeight="false" outlineLevel="0" collapsed="false">
      <c r="B15" s="13" t="s">
        <v>38</v>
      </c>
      <c r="C15" s="14" t="n">
        <v>20</v>
      </c>
      <c r="D15" s="15" t="s">
        <v>39</v>
      </c>
    </row>
    <row r="16" customFormat="false" ht="15" hidden="false" customHeight="false" outlineLevel="0" collapsed="false">
      <c r="B16" s="13" t="s">
        <v>40</v>
      </c>
      <c r="C16" s="14" t="n">
        <v>17</v>
      </c>
      <c r="D16" s="15" t="s">
        <v>41</v>
      </c>
    </row>
    <row r="17" customFormat="false" ht="15" hidden="false" customHeight="false" outlineLevel="0" collapsed="false">
      <c r="B17" s="12"/>
      <c r="C17" s="12"/>
      <c r="D17" s="12"/>
    </row>
    <row r="18" customFormat="false" ht="15" hidden="false" customHeight="false" outlineLevel="0" collapsed="false">
      <c r="B18" s="3" t="s">
        <v>42</v>
      </c>
      <c r="C18" s="17" t="n">
        <f aca="false">SUM(C6:C16)</f>
        <v>1126</v>
      </c>
      <c r="D18" s="12"/>
    </row>
    <row r="20" customFormat="false" ht="15" hidden="false" customHeight="false" outlineLevel="0" collapsed="false">
      <c r="B20" s="11" t="s">
        <v>43</v>
      </c>
      <c r="C20" s="12"/>
      <c r="D20" s="12"/>
    </row>
    <row r="21" customFormat="false" ht="15" hidden="false" customHeight="false" outlineLevel="0" collapsed="false">
      <c r="B21" s="13" t="s">
        <v>44</v>
      </c>
      <c r="C21" s="14" t="n">
        <v>6000</v>
      </c>
      <c r="D21" s="15" t="s">
        <v>45</v>
      </c>
    </row>
    <row r="22" customFormat="false" ht="15" hidden="false" customHeight="false" outlineLevel="0" collapsed="false">
      <c r="B22" s="13" t="s">
        <v>46</v>
      </c>
      <c r="C22" s="18" t="n">
        <v>7</v>
      </c>
      <c r="D22" s="15" t="s">
        <v>47</v>
      </c>
    </row>
    <row r="24" customFormat="false" ht="15" hidden="false" customHeight="false" outlineLevel="0" collapsed="false">
      <c r="B24" s="11" t="s">
        <v>48</v>
      </c>
      <c r="C24" s="12"/>
      <c r="D24" s="12"/>
    </row>
    <row r="25" customFormat="false" ht="15" hidden="false" customHeight="false" outlineLevel="0" collapsed="false">
      <c r="B25" s="13" t="s">
        <v>49</v>
      </c>
      <c r="C25" s="14" t="n">
        <v>300</v>
      </c>
      <c r="D25" s="15" t="s">
        <v>50</v>
      </c>
    </row>
    <row r="26" customFormat="false" ht="15" hidden="false" customHeight="false" outlineLevel="0" collapsed="false">
      <c r="B26" s="13" t="s">
        <v>51</v>
      </c>
      <c r="C26" s="14" t="n">
        <v>200</v>
      </c>
      <c r="D26" s="15"/>
    </row>
    <row r="27" customFormat="false" ht="15" hidden="false" customHeight="false" outlineLevel="0" collapsed="false">
      <c r="B27" s="13" t="s">
        <v>52</v>
      </c>
      <c r="C27" s="14" t="n">
        <v>0</v>
      </c>
      <c r="D27" s="15" t="s">
        <v>53</v>
      </c>
    </row>
    <row r="28" customFormat="false" ht="15" hidden="false" customHeight="false" outlineLevel="0" collapsed="false">
      <c r="B28" s="13" t="s">
        <v>54</v>
      </c>
      <c r="C28" s="14" t="n">
        <v>300</v>
      </c>
      <c r="D28" s="15"/>
    </row>
    <row r="29" customFormat="false" ht="15" hidden="false" customHeight="false" outlineLevel="0" collapsed="false">
      <c r="B29" s="13" t="s">
        <v>55</v>
      </c>
      <c r="C29" s="14" t="n">
        <v>2500</v>
      </c>
      <c r="D29" s="15" t="s">
        <v>56</v>
      </c>
    </row>
    <row r="30" customFormat="false" ht="15" hidden="false" customHeight="false" outlineLevel="0" collapsed="false">
      <c r="B30" s="13" t="s">
        <v>57</v>
      </c>
      <c r="C30" s="14" t="n">
        <v>1100</v>
      </c>
      <c r="D30" s="15" t="s">
        <v>58</v>
      </c>
    </row>
    <row r="31" customFormat="false" ht="15" hidden="false" customHeight="false" outlineLevel="0" collapsed="false">
      <c r="B31" s="13" t="s">
        <v>59</v>
      </c>
      <c r="C31" s="14" t="n">
        <v>0</v>
      </c>
      <c r="D31" s="15" t="s">
        <v>60</v>
      </c>
    </row>
    <row r="32" customFormat="false" ht="15" hidden="false" customHeight="false" outlineLevel="0" collapsed="false">
      <c r="B32" s="13" t="s">
        <v>61</v>
      </c>
      <c r="C32" s="14" t="n">
        <v>50</v>
      </c>
      <c r="D32" s="15"/>
    </row>
    <row r="33" customFormat="false" ht="15" hidden="false" customHeight="false" outlineLevel="0" collapsed="false">
      <c r="B33" s="13" t="s">
        <v>62</v>
      </c>
      <c r="C33" s="14" t="n">
        <v>2000</v>
      </c>
      <c r="D33" s="15" t="s">
        <v>36</v>
      </c>
    </row>
    <row r="34" customFormat="false" ht="15" hidden="false" customHeight="false" outlineLevel="0" collapsed="false">
      <c r="B34" s="13" t="s">
        <v>63</v>
      </c>
      <c r="C34" s="14" t="n">
        <v>2000</v>
      </c>
      <c r="D34" s="15" t="s">
        <v>36</v>
      </c>
    </row>
    <row r="35" customFormat="false" ht="15" hidden="false" customHeight="false" outlineLevel="0" collapsed="false">
      <c r="B35" s="13" t="s">
        <v>64</v>
      </c>
      <c r="C35" s="14" t="n">
        <v>0</v>
      </c>
      <c r="D35" s="15" t="s">
        <v>65</v>
      </c>
    </row>
    <row r="36" customFormat="false" ht="15" hidden="false" customHeight="false" outlineLevel="0" collapsed="false">
      <c r="B36" s="13" t="s">
        <v>66</v>
      </c>
      <c r="C36" s="14" t="n">
        <v>2000</v>
      </c>
      <c r="D36" s="15" t="s">
        <v>36</v>
      </c>
    </row>
    <row r="37" customFormat="false" ht="15" hidden="false" customHeight="false" outlineLevel="0" collapsed="false">
      <c r="B37" s="13" t="s">
        <v>67</v>
      </c>
      <c r="C37" s="16" t="n">
        <v>3500</v>
      </c>
      <c r="D37" s="15" t="s">
        <v>68</v>
      </c>
    </row>
    <row r="38" customFormat="false" ht="15" hidden="false" customHeight="false" outlineLevel="0" collapsed="false">
      <c r="B38" s="12"/>
      <c r="C38" s="12"/>
      <c r="D38" s="12"/>
    </row>
    <row r="39" customFormat="false" ht="15" hidden="false" customHeight="false" outlineLevel="0" collapsed="false">
      <c r="B39" s="3" t="s">
        <v>69</v>
      </c>
      <c r="C39" s="17" t="n">
        <f aca="false">SUM(C25:C37)</f>
        <v>13950</v>
      </c>
      <c r="D39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3" min="3" style="0" width="16"/>
    <col collapsed="false" customWidth="true" hidden="false" outlineLevel="0" max="4" min="4" style="0" width="54"/>
  </cols>
  <sheetData>
    <row r="2" customFormat="false" ht="19.7" hidden="false" customHeight="false" outlineLevel="0" collapsed="false">
      <c r="B2" s="1" t="s">
        <v>70</v>
      </c>
    </row>
    <row r="3" customFormat="false" ht="15" hidden="false" customHeight="false" outlineLevel="0" collapsed="false">
      <c r="B3" s="10" t="s">
        <v>71</v>
      </c>
    </row>
    <row r="5" customFormat="false" ht="15" hidden="false" customHeight="false" outlineLevel="0" collapsed="false">
      <c r="B5" s="11" t="s">
        <v>72</v>
      </c>
      <c r="C5" s="12"/>
      <c r="D5" s="12"/>
    </row>
    <row r="6" customFormat="false" ht="15" hidden="false" customHeight="false" outlineLevel="0" collapsed="false">
      <c r="B6" s="13" t="s">
        <v>73</v>
      </c>
      <c r="C6" s="14" t="n">
        <v>1000</v>
      </c>
      <c r="D6" s="15" t="s">
        <v>26</v>
      </c>
    </row>
    <row r="7" customFormat="false" ht="15" hidden="false" customHeight="false" outlineLevel="0" collapsed="false">
      <c r="B7" s="13" t="s">
        <v>74</v>
      </c>
      <c r="C7" s="16" t="n">
        <v>500</v>
      </c>
      <c r="D7" s="15" t="s">
        <v>75</v>
      </c>
    </row>
    <row r="8" customFormat="false" ht="15" hidden="false" customHeight="false" outlineLevel="0" collapsed="false">
      <c r="B8" s="12"/>
      <c r="C8" s="12"/>
      <c r="D8" s="12"/>
    </row>
    <row r="9" customFormat="false" ht="15" hidden="false" customHeight="false" outlineLevel="0" collapsed="false">
      <c r="B9" s="3" t="s">
        <v>76</v>
      </c>
      <c r="C9" s="17" t="n">
        <f aca="false">SUM(C6:C7)</f>
        <v>1500</v>
      </c>
      <c r="D9" s="12"/>
    </row>
    <row r="10" customFormat="false" ht="15" hidden="false" customHeight="false" outlineLevel="0" collapsed="false">
      <c r="B10" s="13" t="s">
        <v>77</v>
      </c>
      <c r="C10" s="5" t="n">
        <f aca="false">C9*12</f>
        <v>18000</v>
      </c>
      <c r="D10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8"/>
    <col collapsed="false" customWidth="true" hidden="false" outlineLevel="0" max="3" min="3" style="0" width="20"/>
    <col collapsed="false" customWidth="true" hidden="false" outlineLevel="0" max="4" min="4" style="0" width="14"/>
    <col collapsed="false" customWidth="true" hidden="false" outlineLevel="0" max="5" min="5" style="0" width="54"/>
  </cols>
  <sheetData>
    <row r="2" customFormat="false" ht="19.7" hidden="false" customHeight="false" outlineLevel="0" collapsed="false">
      <c r="B2" s="1" t="s">
        <v>78</v>
      </c>
    </row>
    <row r="3" customFormat="false" ht="15" hidden="false" customHeight="false" outlineLevel="0" collapsed="false">
      <c r="B3" s="10" t="s">
        <v>79</v>
      </c>
    </row>
    <row r="5" customFormat="false" ht="15" hidden="false" customHeight="false" outlineLevel="0" collapsed="false">
      <c r="B5" s="19" t="s">
        <v>80</v>
      </c>
      <c r="C5" s="20" t="s">
        <v>81</v>
      </c>
      <c r="D5" s="20" t="s">
        <v>82</v>
      </c>
      <c r="E5" s="20" t="s">
        <v>9</v>
      </c>
    </row>
    <row r="6" customFormat="false" ht="15" hidden="false" customHeight="false" outlineLevel="0" collapsed="false">
      <c r="B6" s="13" t="s">
        <v>83</v>
      </c>
      <c r="C6" s="13" t="s">
        <v>84</v>
      </c>
      <c r="D6" s="4" t="n">
        <f aca="false">Assumptions!C25</f>
        <v>300</v>
      </c>
      <c r="E6" s="15" t="str">
        <f aca="false">Assumptions!D25</f>
        <v>Check your state's exact fee</v>
      </c>
    </row>
    <row r="7" customFormat="false" ht="15" hidden="false" customHeight="false" outlineLevel="0" collapsed="false">
      <c r="B7" s="13" t="s">
        <v>51</v>
      </c>
      <c r="C7" s="13" t="s">
        <v>84</v>
      </c>
      <c r="D7" s="4" t="n">
        <f aca="false">Assumptions!C26</f>
        <v>200</v>
      </c>
      <c r="E7" s="15" t="n">
        <f aca="false">Assumptions!D26</f>
        <v>0</v>
      </c>
    </row>
    <row r="8" customFormat="false" ht="15" hidden="false" customHeight="false" outlineLevel="0" collapsed="false">
      <c r="B8" s="13" t="s">
        <v>52</v>
      </c>
      <c r="C8" s="13" t="s">
        <v>84</v>
      </c>
      <c r="D8" s="4" t="n">
        <f aca="false">Assumptions!C27</f>
        <v>0</v>
      </c>
      <c r="E8" s="15" t="str">
        <f aca="false">Assumptions!D27</f>
        <v>Free</v>
      </c>
    </row>
    <row r="9" customFormat="false" ht="15" hidden="false" customHeight="false" outlineLevel="0" collapsed="false">
      <c r="B9" s="13" t="s">
        <v>85</v>
      </c>
      <c r="C9" s="13" t="s">
        <v>84</v>
      </c>
      <c r="D9" s="4" t="n">
        <f aca="false">Assumptions!C28</f>
        <v>300</v>
      </c>
      <c r="E9" s="15" t="n">
        <f aca="false">Assumptions!D28</f>
        <v>0</v>
      </c>
    </row>
    <row r="10" customFormat="false" ht="15" hidden="false" customHeight="false" outlineLevel="0" collapsed="false">
      <c r="B10" s="13" t="s">
        <v>86</v>
      </c>
      <c r="C10" s="13" t="s">
        <v>84</v>
      </c>
      <c r="D10" s="4" t="n">
        <f aca="false">Assumptions!C29</f>
        <v>2500</v>
      </c>
      <c r="E10" s="15" t="str">
        <f aca="false">Assumptions!D29</f>
        <v>Flagged in your docs as needed before launch</v>
      </c>
    </row>
    <row r="11" customFormat="false" ht="15" hidden="false" customHeight="false" outlineLevel="0" collapsed="false">
      <c r="B11" s="13" t="s">
        <v>87</v>
      </c>
      <c r="C11" s="13" t="s">
        <v>84</v>
      </c>
      <c r="D11" s="4" t="n">
        <f aca="false">Assumptions!C30</f>
        <v>1100</v>
      </c>
      <c r="E11" s="15" t="str">
        <f aca="false">Assumptions!D30</f>
        <v>$350 USPTO base + ~$750 attorney assist</v>
      </c>
    </row>
    <row r="12" customFormat="false" ht="15" hidden="false" customHeight="false" outlineLevel="0" collapsed="false">
      <c r="B12" s="13" t="s">
        <v>88</v>
      </c>
      <c r="C12" s="13" t="s">
        <v>89</v>
      </c>
      <c r="D12" s="4" t="n">
        <f aca="false">Assumptions!C31</f>
        <v>0</v>
      </c>
      <c r="E12" s="15" t="str">
        <f aca="false">Assumptions!D31</f>
        <v>Captured in monthly recurring above</v>
      </c>
    </row>
    <row r="13" customFormat="false" ht="15" hidden="false" customHeight="false" outlineLevel="0" collapsed="false">
      <c r="B13" s="13" t="s">
        <v>61</v>
      </c>
      <c r="C13" s="13" t="s">
        <v>90</v>
      </c>
      <c r="D13" s="4" t="n">
        <f aca="false">Assumptions!C32</f>
        <v>50</v>
      </c>
      <c r="E13" s="15" t="n">
        <f aca="false">Assumptions!D32</f>
        <v>0</v>
      </c>
    </row>
    <row r="14" customFormat="false" ht="15" hidden="false" customHeight="false" outlineLevel="0" collapsed="false">
      <c r="B14" s="13" t="s">
        <v>62</v>
      </c>
      <c r="C14" s="13" t="s">
        <v>91</v>
      </c>
      <c r="D14" s="4" t="n">
        <f aca="false">Assumptions!C33</f>
        <v>2000</v>
      </c>
      <c r="E14" s="15" t="str">
        <f aca="false">Assumptions!D33</f>
        <v>Your stated cost</v>
      </c>
    </row>
    <row r="15" customFormat="false" ht="15" hidden="false" customHeight="false" outlineLevel="0" collapsed="false">
      <c r="B15" s="13" t="s">
        <v>63</v>
      </c>
      <c r="C15" s="13" t="s">
        <v>91</v>
      </c>
      <c r="D15" s="4" t="n">
        <f aca="false">Assumptions!C34</f>
        <v>2000</v>
      </c>
      <c r="E15" s="15" t="str">
        <f aca="false">Assumptions!D34</f>
        <v>Your stated cost</v>
      </c>
    </row>
    <row r="16" customFormat="false" ht="15" hidden="false" customHeight="false" outlineLevel="0" collapsed="false">
      <c r="B16" s="13" t="s">
        <v>64</v>
      </c>
      <c r="C16" s="13" t="s">
        <v>92</v>
      </c>
      <c r="D16" s="4" t="n">
        <f aca="false">Assumptions!C35</f>
        <v>0</v>
      </c>
      <c r="E16" s="15" t="str">
        <f aca="false">Assumptions!D35</f>
        <v>Deferred - brand stays unnamed/institutional for now</v>
      </c>
    </row>
    <row r="17" customFormat="false" ht="15" hidden="false" customHeight="false" outlineLevel="0" collapsed="false">
      <c r="B17" s="13" t="s">
        <v>66</v>
      </c>
      <c r="C17" s="13" t="s">
        <v>92</v>
      </c>
      <c r="D17" s="4" t="n">
        <f aca="false">Assumptions!C36</f>
        <v>2000</v>
      </c>
      <c r="E17" s="15" t="str">
        <f aca="false">Assumptions!D36</f>
        <v>Your stated cost</v>
      </c>
    </row>
    <row r="18" customFormat="false" ht="15" hidden="false" customHeight="false" outlineLevel="0" collapsed="false">
      <c r="B18" s="13" t="s">
        <v>93</v>
      </c>
      <c r="C18" s="13" t="s">
        <v>94</v>
      </c>
      <c r="D18" s="4" t="n">
        <f aca="false">Assumptions!C37</f>
        <v>3500</v>
      </c>
      <c r="E18" s="15" t="str">
        <f aca="false">Assumptions!D37</f>
        <v>Estimate for a freelance ops/integration contractor; adjust once you get quotes</v>
      </c>
    </row>
    <row r="19" customFormat="false" ht="15" hidden="false" customHeight="false" outlineLevel="0" collapsed="false">
      <c r="B19" s="3" t="s">
        <v>95</v>
      </c>
      <c r="C19" s="12"/>
      <c r="D19" s="17" t="n">
        <f aca="false">SUM(D6:D18)</f>
        <v>13950</v>
      </c>
      <c r="E19" s="12"/>
    </row>
    <row r="22" customFormat="false" ht="15" hidden="false" customHeight="false" outlineLevel="0" collapsed="false">
      <c r="B22" s="8" t="s">
        <v>96</v>
      </c>
    </row>
    <row r="23" customFormat="false" ht="15" hidden="false" customHeight="false" outlineLevel="0" collapsed="false">
      <c r="B23" s="3" t="s">
        <v>81</v>
      </c>
      <c r="C23" s="3" t="s">
        <v>97</v>
      </c>
    </row>
    <row r="24" customFormat="false" ht="15" hidden="false" customHeight="false" outlineLevel="0" collapsed="false">
      <c r="B24" s="13" t="s">
        <v>84</v>
      </c>
      <c r="C24" s="5" t="n">
        <f aca="false">SUMIF($C$6:$C$18,B24,$D$6:$D$18)</f>
        <v>4400</v>
      </c>
    </row>
    <row r="25" customFormat="false" ht="15" hidden="false" customHeight="false" outlineLevel="0" collapsed="false">
      <c r="B25" s="13" t="s">
        <v>89</v>
      </c>
      <c r="C25" s="5" t="n">
        <f aca="false">SUMIF($C$6:$C$18,B25,$D$6:$D$18)</f>
        <v>0</v>
      </c>
    </row>
    <row r="26" customFormat="false" ht="15" hidden="false" customHeight="false" outlineLevel="0" collapsed="false">
      <c r="B26" s="13" t="s">
        <v>90</v>
      </c>
      <c r="C26" s="5" t="n">
        <f aca="false">SUMIF($C$6:$C$18,B26,$D$6:$D$18)</f>
        <v>50</v>
      </c>
    </row>
    <row r="27" customFormat="false" ht="15" hidden="false" customHeight="false" outlineLevel="0" collapsed="false">
      <c r="B27" s="13" t="s">
        <v>91</v>
      </c>
      <c r="C27" s="5" t="n">
        <f aca="false">SUMIF($C$6:$C$18,B27,$D$6:$D$18)</f>
        <v>4000</v>
      </c>
    </row>
    <row r="28" customFormat="false" ht="15" hidden="false" customHeight="false" outlineLevel="0" collapsed="false">
      <c r="B28" s="13" t="s">
        <v>92</v>
      </c>
      <c r="C28" s="5" t="n">
        <f aca="false">SUMIF($C$6:$C$18,B28,$D$6:$D$18)</f>
        <v>2000</v>
      </c>
    </row>
    <row r="29" customFormat="false" ht="15" hidden="false" customHeight="false" outlineLevel="0" collapsed="false">
      <c r="B29" s="13" t="s">
        <v>94</v>
      </c>
      <c r="C29" s="5" t="n">
        <f aca="false">SUMIF($C$6:$C$18,B29,$D$6:$D$18)</f>
        <v>3500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O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8"/>
    <col collapsed="false" customWidth="true" hidden="false" outlineLevel="0" max="14" min="3" style="0" width="11"/>
    <col collapsed="false" customWidth="true" hidden="false" outlineLevel="0" max="15" min="15" style="0" width="13"/>
  </cols>
  <sheetData>
    <row r="2" customFormat="false" ht="19.7" hidden="false" customHeight="false" outlineLevel="0" collapsed="false">
      <c r="B2" s="1" t="s">
        <v>98</v>
      </c>
    </row>
    <row r="3" customFormat="false" ht="15" hidden="false" customHeight="false" outlineLevel="0" collapsed="false">
      <c r="B3" s="10" t="s">
        <v>99</v>
      </c>
    </row>
    <row r="5" customFormat="false" ht="15" hidden="false" customHeight="false" outlineLevel="0" collapsed="false">
      <c r="B5" s="19" t="s">
        <v>100</v>
      </c>
      <c r="C5" s="20" t="s">
        <v>101</v>
      </c>
      <c r="D5" s="20" t="s">
        <v>102</v>
      </c>
      <c r="E5" s="20" t="s">
        <v>103</v>
      </c>
      <c r="F5" s="20" t="s">
        <v>104</v>
      </c>
      <c r="G5" s="20" t="s">
        <v>105</v>
      </c>
      <c r="H5" s="20" t="s">
        <v>106</v>
      </c>
      <c r="I5" s="20" t="s">
        <v>107</v>
      </c>
      <c r="J5" s="20" t="s">
        <v>108</v>
      </c>
      <c r="K5" s="20" t="s">
        <v>109</v>
      </c>
      <c r="L5" s="20" t="s">
        <v>110</v>
      </c>
      <c r="M5" s="20" t="s">
        <v>111</v>
      </c>
      <c r="N5" s="20" t="s">
        <v>112</v>
      </c>
      <c r="O5" s="20" t="s">
        <v>113</v>
      </c>
    </row>
    <row r="6" customFormat="false" ht="15" hidden="false" customHeight="false" outlineLevel="0" collapsed="false">
      <c r="B6" s="21" t="s">
        <v>114</v>
      </c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</row>
    <row r="7" customFormat="false" ht="15" hidden="false" customHeight="false" outlineLevel="0" collapsed="false">
      <c r="B7" s="13" t="s">
        <v>115</v>
      </c>
      <c r="C7" s="4" t="n">
        <f aca="false">'Startup Costs'!D19</f>
        <v>13950</v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  <c r="L7" s="5" t="n">
        <v>0</v>
      </c>
      <c r="M7" s="5" t="n">
        <v>0</v>
      </c>
      <c r="N7" s="5" t="n">
        <v>0</v>
      </c>
      <c r="O7" s="23" t="n">
        <f aca="false">SUM(C7:N7)</f>
        <v>13950</v>
      </c>
    </row>
    <row r="8" customFormat="false" ht="15" hidden="false" customHeight="false" outlineLevel="0" collapsed="false"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</row>
    <row r="9" customFormat="false" ht="15" hidden="false" customHeight="false" outlineLevel="0" collapsed="false">
      <c r="B9" s="21" t="s">
        <v>116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</row>
    <row r="10" customFormat="false" ht="15" hidden="false" customHeight="false" outlineLevel="0" collapsed="false">
      <c r="B10" s="13" t="s">
        <v>117</v>
      </c>
      <c r="C10" s="4" t="n">
        <f aca="false">Assumptions!$C$6</f>
        <v>14</v>
      </c>
      <c r="D10" s="4" t="n">
        <f aca="false">Assumptions!$C$6</f>
        <v>14</v>
      </c>
      <c r="E10" s="4" t="n">
        <f aca="false">Assumptions!$C$6</f>
        <v>14</v>
      </c>
      <c r="F10" s="4" t="n">
        <f aca="false">Assumptions!$C$6</f>
        <v>14</v>
      </c>
      <c r="G10" s="4" t="n">
        <f aca="false">Assumptions!$C$6</f>
        <v>14</v>
      </c>
      <c r="H10" s="4" t="n">
        <f aca="false">Assumptions!$C$6</f>
        <v>14</v>
      </c>
      <c r="I10" s="4" t="n">
        <f aca="false">Assumptions!$C$6</f>
        <v>14</v>
      </c>
      <c r="J10" s="4" t="n">
        <f aca="false">Assumptions!$C$6</f>
        <v>14</v>
      </c>
      <c r="K10" s="4" t="n">
        <f aca="false">Assumptions!$C$6</f>
        <v>14</v>
      </c>
      <c r="L10" s="4" t="n">
        <f aca="false">Assumptions!$C$6</f>
        <v>14</v>
      </c>
      <c r="M10" s="4" t="n">
        <f aca="false">Assumptions!$C$6</f>
        <v>14</v>
      </c>
      <c r="N10" s="4" t="n">
        <f aca="false">Assumptions!$C$6</f>
        <v>14</v>
      </c>
      <c r="O10" s="23" t="n">
        <f aca="false">SUM(C10:N10)</f>
        <v>168</v>
      </c>
    </row>
    <row r="11" customFormat="false" ht="15" hidden="false" customHeight="false" outlineLevel="0" collapsed="false">
      <c r="B11" s="13" t="s">
        <v>118</v>
      </c>
      <c r="C11" s="4" t="n">
        <f aca="false">Assumptions!$C$7</f>
        <v>150</v>
      </c>
      <c r="D11" s="4" t="n">
        <f aca="false">Assumptions!$C$7</f>
        <v>150</v>
      </c>
      <c r="E11" s="4" t="n">
        <f aca="false">Assumptions!$C$7</f>
        <v>150</v>
      </c>
      <c r="F11" s="4" t="n">
        <f aca="false">Assumptions!$C$7</f>
        <v>150</v>
      </c>
      <c r="G11" s="4" t="n">
        <f aca="false">Assumptions!$C$7</f>
        <v>150</v>
      </c>
      <c r="H11" s="4" t="n">
        <f aca="false">Assumptions!$C$7</f>
        <v>150</v>
      </c>
      <c r="I11" s="4" t="n">
        <f aca="false">Assumptions!$C$7</f>
        <v>150</v>
      </c>
      <c r="J11" s="4" t="n">
        <f aca="false">Assumptions!$C$7</f>
        <v>150</v>
      </c>
      <c r="K11" s="4" t="n">
        <f aca="false">Assumptions!$C$7</f>
        <v>150</v>
      </c>
      <c r="L11" s="4" t="n">
        <f aca="false">Assumptions!$C$7</f>
        <v>150</v>
      </c>
      <c r="M11" s="4" t="n">
        <f aca="false">Assumptions!$C$7</f>
        <v>150</v>
      </c>
      <c r="N11" s="4" t="n">
        <f aca="false">Assumptions!$C$7</f>
        <v>150</v>
      </c>
      <c r="O11" s="23" t="n">
        <f aca="false">SUM(C11:N11)</f>
        <v>1800</v>
      </c>
    </row>
    <row r="12" customFormat="false" ht="15" hidden="false" customHeight="false" outlineLevel="0" collapsed="false">
      <c r="B12" s="13" t="s">
        <v>119</v>
      </c>
      <c r="C12" s="4" t="n">
        <f aca="false">Assumptions!$C$8</f>
        <v>500</v>
      </c>
      <c r="D12" s="4" t="n">
        <f aca="false">Assumptions!$C$8</f>
        <v>500</v>
      </c>
      <c r="E12" s="4" t="n">
        <f aca="false">Assumptions!$C$8</f>
        <v>500</v>
      </c>
      <c r="F12" s="4" t="n">
        <f aca="false">Assumptions!$C$8</f>
        <v>500</v>
      </c>
      <c r="G12" s="4" t="n">
        <f aca="false">Assumptions!$C$8</f>
        <v>500</v>
      </c>
      <c r="H12" s="4" t="n">
        <f aca="false">Assumptions!$C$8</f>
        <v>500</v>
      </c>
      <c r="I12" s="4" t="n">
        <f aca="false">Assumptions!$C$8</f>
        <v>500</v>
      </c>
      <c r="J12" s="4" t="n">
        <f aca="false">Assumptions!$C$8</f>
        <v>500</v>
      </c>
      <c r="K12" s="4" t="n">
        <f aca="false">Assumptions!$C$8</f>
        <v>500</v>
      </c>
      <c r="L12" s="4" t="n">
        <f aca="false">Assumptions!$C$8</f>
        <v>500</v>
      </c>
      <c r="M12" s="4" t="n">
        <f aca="false">Assumptions!$C$8</f>
        <v>500</v>
      </c>
      <c r="N12" s="4" t="n">
        <f aca="false">Assumptions!$C$8</f>
        <v>500</v>
      </c>
      <c r="O12" s="23" t="n">
        <f aca="false">SUM(C12:N12)</f>
        <v>6000</v>
      </c>
    </row>
    <row r="13" customFormat="false" ht="15" hidden="false" customHeight="false" outlineLevel="0" collapsed="false">
      <c r="B13" s="13" t="s">
        <v>27</v>
      </c>
      <c r="C13" s="4" t="n">
        <f aca="false">Assumptions!$C$9</f>
        <v>100</v>
      </c>
      <c r="D13" s="4" t="n">
        <f aca="false">Assumptions!$C$9</f>
        <v>100</v>
      </c>
      <c r="E13" s="4" t="n">
        <f aca="false">Assumptions!$C$9</f>
        <v>100</v>
      </c>
      <c r="F13" s="4" t="n">
        <f aca="false">Assumptions!$C$9</f>
        <v>100</v>
      </c>
      <c r="G13" s="4" t="n">
        <f aca="false">Assumptions!$C$9</f>
        <v>100</v>
      </c>
      <c r="H13" s="4" t="n">
        <f aca="false">Assumptions!$C$9</f>
        <v>100</v>
      </c>
      <c r="I13" s="4" t="n">
        <f aca="false">Assumptions!$C$9</f>
        <v>100</v>
      </c>
      <c r="J13" s="4" t="n">
        <f aca="false">Assumptions!$C$9</f>
        <v>100</v>
      </c>
      <c r="K13" s="4" t="n">
        <f aca="false">Assumptions!$C$9</f>
        <v>100</v>
      </c>
      <c r="L13" s="4" t="n">
        <f aca="false">Assumptions!$C$9</f>
        <v>100</v>
      </c>
      <c r="M13" s="4" t="n">
        <f aca="false">Assumptions!$C$9</f>
        <v>100</v>
      </c>
      <c r="N13" s="4" t="n">
        <f aca="false">Assumptions!$C$9</f>
        <v>100</v>
      </c>
      <c r="O13" s="23" t="n">
        <f aca="false">SUM(C13:N13)</f>
        <v>1200</v>
      </c>
    </row>
    <row r="14" customFormat="false" ht="15" hidden="false" customHeight="false" outlineLevel="0" collapsed="false">
      <c r="B14" s="13" t="s">
        <v>120</v>
      </c>
      <c r="C14" s="4" t="n">
        <f aca="false">Assumptions!$C$10</f>
        <v>15</v>
      </c>
      <c r="D14" s="4" t="n">
        <f aca="false">Assumptions!$C$10</f>
        <v>15</v>
      </c>
      <c r="E14" s="4" t="n">
        <f aca="false">Assumptions!$C$10</f>
        <v>15</v>
      </c>
      <c r="F14" s="4" t="n">
        <f aca="false">Assumptions!$C$10</f>
        <v>15</v>
      </c>
      <c r="G14" s="4" t="n">
        <f aca="false">Assumptions!$C$10</f>
        <v>15</v>
      </c>
      <c r="H14" s="4" t="n">
        <f aca="false">Assumptions!$C$10</f>
        <v>15</v>
      </c>
      <c r="I14" s="4" t="n">
        <f aca="false">Assumptions!$C$10</f>
        <v>15</v>
      </c>
      <c r="J14" s="4" t="n">
        <f aca="false">Assumptions!$C$10</f>
        <v>15</v>
      </c>
      <c r="K14" s="4" t="n">
        <f aca="false">Assumptions!$C$10</f>
        <v>15</v>
      </c>
      <c r="L14" s="4" t="n">
        <f aca="false">Assumptions!$C$10</f>
        <v>15</v>
      </c>
      <c r="M14" s="4" t="n">
        <f aca="false">Assumptions!$C$10</f>
        <v>15</v>
      </c>
      <c r="N14" s="4" t="n">
        <f aca="false">Assumptions!$C$10</f>
        <v>15</v>
      </c>
      <c r="O14" s="23" t="n">
        <f aca="false">SUM(C14:N14)</f>
        <v>180</v>
      </c>
    </row>
    <row r="15" customFormat="false" ht="15" hidden="false" customHeight="false" outlineLevel="0" collapsed="false">
      <c r="B15" s="13" t="s">
        <v>121</v>
      </c>
      <c r="C15" s="4" t="n">
        <f aca="false">Assumptions!$C$11</f>
        <v>35</v>
      </c>
      <c r="D15" s="4" t="n">
        <f aca="false">Assumptions!$C$11</f>
        <v>35</v>
      </c>
      <c r="E15" s="4" t="n">
        <f aca="false">Assumptions!$C$11</f>
        <v>35</v>
      </c>
      <c r="F15" s="4" t="n">
        <f aca="false">Assumptions!$C$11</f>
        <v>35</v>
      </c>
      <c r="G15" s="4" t="n">
        <f aca="false">Assumptions!$C$11</f>
        <v>35</v>
      </c>
      <c r="H15" s="4" t="n">
        <f aca="false">Assumptions!$C$11</f>
        <v>35</v>
      </c>
      <c r="I15" s="4" t="n">
        <f aca="false">Assumptions!$C$11</f>
        <v>35</v>
      </c>
      <c r="J15" s="4" t="n">
        <f aca="false">Assumptions!$C$11</f>
        <v>35</v>
      </c>
      <c r="K15" s="4" t="n">
        <f aca="false">Assumptions!$C$11</f>
        <v>35</v>
      </c>
      <c r="L15" s="4" t="n">
        <f aca="false">Assumptions!$C$11</f>
        <v>35</v>
      </c>
      <c r="M15" s="4" t="n">
        <f aca="false">Assumptions!$C$11</f>
        <v>35</v>
      </c>
      <c r="N15" s="4" t="n">
        <f aca="false">Assumptions!$C$11</f>
        <v>35</v>
      </c>
      <c r="O15" s="23" t="n">
        <f aca="false">SUM(C15:N15)</f>
        <v>420</v>
      </c>
    </row>
    <row r="16" customFormat="false" ht="15" hidden="false" customHeight="false" outlineLevel="0" collapsed="false">
      <c r="B16" s="13" t="s">
        <v>122</v>
      </c>
      <c r="C16" s="4" t="n">
        <f aca="false">Assumptions!$C$12</f>
        <v>125</v>
      </c>
      <c r="D16" s="4" t="n">
        <f aca="false">Assumptions!$C$12</f>
        <v>125</v>
      </c>
      <c r="E16" s="4" t="n">
        <f aca="false">Assumptions!$C$12</f>
        <v>125</v>
      </c>
      <c r="F16" s="4" t="n">
        <f aca="false">Assumptions!$C$12</f>
        <v>125</v>
      </c>
      <c r="G16" s="4" t="n">
        <f aca="false">Assumptions!$C$12</f>
        <v>125</v>
      </c>
      <c r="H16" s="4" t="n">
        <f aca="false">Assumptions!$C$12</f>
        <v>125</v>
      </c>
      <c r="I16" s="4" t="n">
        <f aca="false">Assumptions!$C$12</f>
        <v>125</v>
      </c>
      <c r="J16" s="4" t="n">
        <f aca="false">Assumptions!$C$12</f>
        <v>125</v>
      </c>
      <c r="K16" s="4" t="n">
        <f aca="false">Assumptions!$C$12</f>
        <v>125</v>
      </c>
      <c r="L16" s="4" t="n">
        <f aca="false">Assumptions!$C$12</f>
        <v>125</v>
      </c>
      <c r="M16" s="4" t="n">
        <f aca="false">Assumptions!$C$12</f>
        <v>125</v>
      </c>
      <c r="N16" s="4" t="n">
        <f aca="false">Assumptions!$C$12</f>
        <v>125</v>
      </c>
      <c r="O16" s="23" t="n">
        <f aca="false">SUM(C16:N16)</f>
        <v>1500</v>
      </c>
    </row>
    <row r="17" customFormat="false" ht="15" hidden="false" customHeight="false" outlineLevel="0" collapsed="false">
      <c r="B17" s="13" t="s">
        <v>35</v>
      </c>
      <c r="C17" s="4" t="n">
        <f aca="false">Assumptions!$C$13</f>
        <v>75</v>
      </c>
      <c r="D17" s="4" t="n">
        <f aca="false">Assumptions!$C$13</f>
        <v>75</v>
      </c>
      <c r="E17" s="4" t="n">
        <f aca="false">Assumptions!$C$13</f>
        <v>75</v>
      </c>
      <c r="F17" s="4" t="n">
        <f aca="false">Assumptions!$C$13</f>
        <v>75</v>
      </c>
      <c r="G17" s="4" t="n">
        <f aca="false">Assumptions!$C$13</f>
        <v>75</v>
      </c>
      <c r="H17" s="4" t="n">
        <f aca="false">Assumptions!$C$13</f>
        <v>75</v>
      </c>
      <c r="I17" s="4" t="n">
        <f aca="false">Assumptions!$C$13</f>
        <v>75</v>
      </c>
      <c r="J17" s="4" t="n">
        <f aca="false">Assumptions!$C$13</f>
        <v>75</v>
      </c>
      <c r="K17" s="4" t="n">
        <f aca="false">Assumptions!$C$13</f>
        <v>75</v>
      </c>
      <c r="L17" s="4" t="n">
        <f aca="false">Assumptions!$C$13</f>
        <v>75</v>
      </c>
      <c r="M17" s="4" t="n">
        <f aca="false">Assumptions!$C$13</f>
        <v>75</v>
      </c>
      <c r="N17" s="4" t="n">
        <f aca="false">Assumptions!$C$13</f>
        <v>75</v>
      </c>
      <c r="O17" s="23" t="n">
        <f aca="false">SUM(C17:N17)</f>
        <v>900</v>
      </c>
    </row>
    <row r="18" customFormat="false" ht="15" hidden="false" customHeight="false" outlineLevel="0" collapsed="false">
      <c r="B18" s="13" t="s">
        <v>37</v>
      </c>
      <c r="C18" s="4" t="n">
        <f aca="false">Assumptions!$C$14</f>
        <v>75</v>
      </c>
      <c r="D18" s="4" t="n">
        <f aca="false">Assumptions!$C$14</f>
        <v>75</v>
      </c>
      <c r="E18" s="4" t="n">
        <f aca="false">Assumptions!$C$14</f>
        <v>75</v>
      </c>
      <c r="F18" s="4" t="n">
        <f aca="false">Assumptions!$C$14</f>
        <v>75</v>
      </c>
      <c r="G18" s="4" t="n">
        <f aca="false">Assumptions!$C$14</f>
        <v>75</v>
      </c>
      <c r="H18" s="4" t="n">
        <f aca="false">Assumptions!$C$14</f>
        <v>75</v>
      </c>
      <c r="I18" s="4" t="n">
        <f aca="false">Assumptions!$C$14</f>
        <v>75</v>
      </c>
      <c r="J18" s="4" t="n">
        <f aca="false">Assumptions!$C$14</f>
        <v>75</v>
      </c>
      <c r="K18" s="4" t="n">
        <f aca="false">Assumptions!$C$14</f>
        <v>75</v>
      </c>
      <c r="L18" s="4" t="n">
        <f aca="false">Assumptions!$C$14</f>
        <v>75</v>
      </c>
      <c r="M18" s="4" t="n">
        <f aca="false">Assumptions!$C$14</f>
        <v>75</v>
      </c>
      <c r="N18" s="4" t="n">
        <f aca="false">Assumptions!$C$14</f>
        <v>75</v>
      </c>
      <c r="O18" s="23" t="n">
        <f aca="false">SUM(C18:N18)</f>
        <v>900</v>
      </c>
    </row>
    <row r="19" customFormat="false" ht="15" hidden="false" customHeight="false" outlineLevel="0" collapsed="false">
      <c r="B19" s="13" t="s">
        <v>123</v>
      </c>
      <c r="C19" s="4" t="n">
        <f aca="false">Assumptions!$C$15</f>
        <v>20</v>
      </c>
      <c r="D19" s="4" t="n">
        <f aca="false">Assumptions!$C$15</f>
        <v>20</v>
      </c>
      <c r="E19" s="4" t="n">
        <f aca="false">Assumptions!$C$15</f>
        <v>20</v>
      </c>
      <c r="F19" s="4" t="n">
        <f aca="false">Assumptions!$C$15</f>
        <v>20</v>
      </c>
      <c r="G19" s="4" t="n">
        <f aca="false">Assumptions!$C$15</f>
        <v>20</v>
      </c>
      <c r="H19" s="4" t="n">
        <f aca="false">Assumptions!$C$15</f>
        <v>20</v>
      </c>
      <c r="I19" s="4" t="n">
        <f aca="false">Assumptions!$C$15</f>
        <v>20</v>
      </c>
      <c r="J19" s="4" t="n">
        <f aca="false">Assumptions!$C$15</f>
        <v>20</v>
      </c>
      <c r="K19" s="4" t="n">
        <f aca="false">Assumptions!$C$15</f>
        <v>20</v>
      </c>
      <c r="L19" s="4" t="n">
        <f aca="false">Assumptions!$C$15</f>
        <v>20</v>
      </c>
      <c r="M19" s="4" t="n">
        <f aca="false">Assumptions!$C$15</f>
        <v>20</v>
      </c>
      <c r="N19" s="4" t="n">
        <f aca="false">Assumptions!$C$15</f>
        <v>20</v>
      </c>
      <c r="O19" s="23" t="n">
        <f aca="false">SUM(C19:N19)</f>
        <v>240</v>
      </c>
    </row>
    <row r="20" customFormat="false" ht="15" hidden="false" customHeight="false" outlineLevel="0" collapsed="false">
      <c r="B20" s="13" t="s">
        <v>124</v>
      </c>
      <c r="C20" s="4" t="n">
        <f aca="false">Assumptions!$C$16</f>
        <v>17</v>
      </c>
      <c r="D20" s="4" t="n">
        <f aca="false">Assumptions!$C$16</f>
        <v>17</v>
      </c>
      <c r="E20" s="4" t="n">
        <f aca="false">Assumptions!$C$16</f>
        <v>17</v>
      </c>
      <c r="F20" s="4" t="n">
        <f aca="false">Assumptions!$C$16</f>
        <v>17</v>
      </c>
      <c r="G20" s="4" t="n">
        <f aca="false">Assumptions!$C$16</f>
        <v>17</v>
      </c>
      <c r="H20" s="4" t="n">
        <f aca="false">Assumptions!$C$16</f>
        <v>17</v>
      </c>
      <c r="I20" s="4" t="n">
        <f aca="false">Assumptions!$C$16</f>
        <v>17</v>
      </c>
      <c r="J20" s="4" t="n">
        <f aca="false">Assumptions!$C$16</f>
        <v>17</v>
      </c>
      <c r="K20" s="4" t="n">
        <f aca="false">Assumptions!$C$16</f>
        <v>17</v>
      </c>
      <c r="L20" s="4" t="n">
        <f aca="false">Assumptions!$C$16</f>
        <v>17</v>
      </c>
      <c r="M20" s="4" t="n">
        <f aca="false">Assumptions!$C$16</f>
        <v>17</v>
      </c>
      <c r="N20" s="4" t="n">
        <f aca="false">Assumptions!$C$16</f>
        <v>17</v>
      </c>
      <c r="O20" s="23" t="n">
        <f aca="false">SUM(C20:N20)</f>
        <v>204</v>
      </c>
    </row>
    <row r="21" customFormat="false" ht="15" hidden="false" customHeight="false" outlineLevel="0" collapsed="false">
      <c r="B21" s="13" t="s">
        <v>125</v>
      </c>
      <c r="C21" s="4" t="n">
        <f aca="false">IF(1&gt;=Assumptions!$C$22,Assumptions!$C$21/12,0)</f>
        <v>0</v>
      </c>
      <c r="D21" s="4" t="n">
        <f aca="false">IF(2&gt;=Assumptions!$C$22,Assumptions!$C$21/12,0)</f>
        <v>0</v>
      </c>
      <c r="E21" s="4" t="n">
        <f aca="false">IF(3&gt;=Assumptions!$C$22,Assumptions!$C$21/12,0)</f>
        <v>0</v>
      </c>
      <c r="F21" s="4" t="n">
        <f aca="false">IF(4&gt;=Assumptions!$C$22,Assumptions!$C$21/12,0)</f>
        <v>0</v>
      </c>
      <c r="G21" s="4" t="n">
        <f aca="false">IF(5&gt;=Assumptions!$C$22,Assumptions!$C$21/12,0)</f>
        <v>0</v>
      </c>
      <c r="H21" s="4" t="n">
        <f aca="false">IF(6&gt;=Assumptions!$C$22,Assumptions!$C$21/12,0)</f>
        <v>0</v>
      </c>
      <c r="I21" s="4" t="n">
        <f aca="false">IF(7&gt;=Assumptions!$C$22,Assumptions!$C$21/12,0)</f>
        <v>500</v>
      </c>
      <c r="J21" s="4" t="n">
        <f aca="false">IF(8&gt;=Assumptions!$C$22,Assumptions!$C$21/12,0)</f>
        <v>500</v>
      </c>
      <c r="K21" s="4" t="n">
        <f aca="false">IF(9&gt;=Assumptions!$C$22,Assumptions!$C$21/12,0)</f>
        <v>500</v>
      </c>
      <c r="L21" s="4" t="n">
        <f aca="false">IF(10&gt;=Assumptions!$C$22,Assumptions!$C$21/12,0)</f>
        <v>500</v>
      </c>
      <c r="M21" s="4" t="n">
        <f aca="false">IF(11&gt;=Assumptions!$C$22,Assumptions!$C$21/12,0)</f>
        <v>500</v>
      </c>
      <c r="N21" s="4" t="n">
        <f aca="false">IF(12&gt;=Assumptions!$C$22,Assumptions!$C$21/12,0)</f>
        <v>500</v>
      </c>
      <c r="O21" s="23" t="n">
        <f aca="false">SUM(C21:N21)</f>
        <v>3000</v>
      </c>
    </row>
    <row r="22" customFormat="false" ht="15" hidden="false" customHeight="false" outlineLevel="0" collapsed="false"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</row>
    <row r="23" customFormat="false" ht="15" hidden="false" customHeight="false" outlineLevel="0" collapsed="false">
      <c r="B23" s="3" t="s">
        <v>126</v>
      </c>
      <c r="C23" s="17" t="n">
        <f aca="false">SUM(C10,C11,C12,C13,C14,C15,C16,C17,C18,C19,C20,C21)</f>
        <v>1126</v>
      </c>
      <c r="D23" s="17" t="n">
        <f aca="false">SUM(D10,D11,D12,D13,D14,D15,D16,D17,D18,D19,D20,D21)</f>
        <v>1126</v>
      </c>
      <c r="E23" s="17" t="n">
        <f aca="false">SUM(E10,E11,E12,E13,E14,E15,E16,E17,E18,E19,E20,E21)</f>
        <v>1126</v>
      </c>
      <c r="F23" s="17" t="n">
        <f aca="false">SUM(F10,F11,F12,F13,F14,F15,F16,F17,F18,F19,F20,F21)</f>
        <v>1126</v>
      </c>
      <c r="G23" s="17" t="n">
        <f aca="false">SUM(G10,G11,G12,G13,G14,G15,G16,G17,G18,G19,G20,G21)</f>
        <v>1126</v>
      </c>
      <c r="H23" s="17" t="n">
        <f aca="false">SUM(H10,H11,H12,H13,H14,H15,H16,H17,H18,H19,H20,H21)</f>
        <v>1126</v>
      </c>
      <c r="I23" s="17" t="n">
        <f aca="false">SUM(I10,I11,I12,I13,I14,I15,I16,I17,I18,I19,I20,I21)</f>
        <v>1626</v>
      </c>
      <c r="J23" s="17" t="n">
        <f aca="false">SUM(J10,J11,J12,J13,J14,J15,J16,J17,J18,J19,J20,J21)</f>
        <v>1626</v>
      </c>
      <c r="K23" s="17" t="n">
        <f aca="false">SUM(K10,K11,K12,K13,K14,K15,K16,K17,K18,K19,K20,K21)</f>
        <v>1626</v>
      </c>
      <c r="L23" s="17" t="n">
        <f aca="false">SUM(L10,L11,L12,L13,L14,L15,L16,L17,L18,L19,L20,L21)</f>
        <v>1626</v>
      </c>
      <c r="M23" s="17" t="n">
        <f aca="false">SUM(M10,M11,M12,M13,M14,M15,M16,M17,M18,M19,M20,M21)</f>
        <v>1626</v>
      </c>
      <c r="N23" s="17" t="n">
        <f aca="false">SUM(N10,N11,N12,N13,N14,N15,N16,N17,N18,N19,N20,N21)</f>
        <v>1626</v>
      </c>
      <c r="O23" s="17" t="n">
        <f aca="false">SUM(C23:N23)</f>
        <v>16512</v>
      </c>
    </row>
    <row r="24" customFormat="false" ht="15" hidden="false" customHeight="false" outlineLevel="0" collapsed="false"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</row>
    <row r="25" customFormat="false" ht="15" hidden="false" customHeight="false" outlineLevel="0" collapsed="false">
      <c r="B25" s="21" t="s">
        <v>127</v>
      </c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</row>
    <row r="26" customFormat="false" ht="15" hidden="false" customHeight="false" outlineLevel="0" collapsed="false">
      <c r="B26" s="13" t="s">
        <v>128</v>
      </c>
      <c r="C26" s="4" t="n">
        <f aca="false">'Discretionary &amp; Travel'!$C$6</f>
        <v>1000</v>
      </c>
      <c r="D26" s="4" t="n">
        <f aca="false">'Discretionary &amp; Travel'!$C$6</f>
        <v>1000</v>
      </c>
      <c r="E26" s="4" t="n">
        <f aca="false">'Discretionary &amp; Travel'!$C$6</f>
        <v>1000</v>
      </c>
      <c r="F26" s="4" t="n">
        <f aca="false">'Discretionary &amp; Travel'!$C$6</f>
        <v>1000</v>
      </c>
      <c r="G26" s="4" t="n">
        <f aca="false">'Discretionary &amp; Travel'!$C$6</f>
        <v>1000</v>
      </c>
      <c r="H26" s="4" t="n">
        <f aca="false">'Discretionary &amp; Travel'!$C$6</f>
        <v>1000</v>
      </c>
      <c r="I26" s="4" t="n">
        <f aca="false">'Discretionary &amp; Travel'!$C$6</f>
        <v>1000</v>
      </c>
      <c r="J26" s="4" t="n">
        <f aca="false">'Discretionary &amp; Travel'!$C$6</f>
        <v>1000</v>
      </c>
      <c r="K26" s="4" t="n">
        <f aca="false">'Discretionary &amp; Travel'!$C$6</f>
        <v>1000</v>
      </c>
      <c r="L26" s="4" t="n">
        <f aca="false">'Discretionary &amp; Travel'!$C$6</f>
        <v>1000</v>
      </c>
      <c r="M26" s="4" t="n">
        <f aca="false">'Discretionary &amp; Travel'!$C$6</f>
        <v>1000</v>
      </c>
      <c r="N26" s="4" t="n">
        <f aca="false">'Discretionary &amp; Travel'!$C$6</f>
        <v>1000</v>
      </c>
      <c r="O26" s="23" t="n">
        <f aca="false">SUM(C26:N26)</f>
        <v>12000</v>
      </c>
    </row>
    <row r="27" customFormat="false" ht="15" hidden="false" customHeight="false" outlineLevel="0" collapsed="false">
      <c r="B27" s="13" t="s">
        <v>74</v>
      </c>
      <c r="C27" s="4" t="n">
        <f aca="false">'Discretionary &amp; Travel'!$C$7</f>
        <v>500</v>
      </c>
      <c r="D27" s="4" t="n">
        <f aca="false">'Discretionary &amp; Travel'!$C$7</f>
        <v>500</v>
      </c>
      <c r="E27" s="4" t="n">
        <f aca="false">'Discretionary &amp; Travel'!$C$7</f>
        <v>500</v>
      </c>
      <c r="F27" s="4" t="n">
        <f aca="false">'Discretionary &amp; Travel'!$C$7</f>
        <v>500</v>
      </c>
      <c r="G27" s="4" t="n">
        <f aca="false">'Discretionary &amp; Travel'!$C$7</f>
        <v>500</v>
      </c>
      <c r="H27" s="4" t="n">
        <f aca="false">'Discretionary &amp; Travel'!$C$7</f>
        <v>500</v>
      </c>
      <c r="I27" s="4" t="n">
        <f aca="false">'Discretionary &amp; Travel'!$C$7</f>
        <v>500</v>
      </c>
      <c r="J27" s="4" t="n">
        <f aca="false">'Discretionary &amp; Travel'!$C$7</f>
        <v>500</v>
      </c>
      <c r="K27" s="4" t="n">
        <f aca="false">'Discretionary &amp; Travel'!$C$7</f>
        <v>500</v>
      </c>
      <c r="L27" s="4" t="n">
        <f aca="false">'Discretionary &amp; Travel'!$C$7</f>
        <v>500</v>
      </c>
      <c r="M27" s="4" t="n">
        <f aca="false">'Discretionary &amp; Travel'!$C$7</f>
        <v>500</v>
      </c>
      <c r="N27" s="4" t="n">
        <f aca="false">'Discretionary &amp; Travel'!$C$7</f>
        <v>500</v>
      </c>
      <c r="O27" s="23" t="n">
        <f aca="false">SUM(C27:N27)</f>
        <v>6000</v>
      </c>
    </row>
    <row r="28" customFormat="false" ht="15" hidden="false" customHeight="false" outlineLevel="0" collapsed="false">
      <c r="B28" s="3" t="s">
        <v>129</v>
      </c>
      <c r="C28" s="17" t="n">
        <f aca="false">SUM(C26,C27)</f>
        <v>1500</v>
      </c>
      <c r="D28" s="17" t="n">
        <f aca="false">SUM(D26,D27)</f>
        <v>1500</v>
      </c>
      <c r="E28" s="17" t="n">
        <f aca="false">SUM(E26,E27)</f>
        <v>1500</v>
      </c>
      <c r="F28" s="17" t="n">
        <f aca="false">SUM(F26,F27)</f>
        <v>1500</v>
      </c>
      <c r="G28" s="17" t="n">
        <f aca="false">SUM(G26,G27)</f>
        <v>1500</v>
      </c>
      <c r="H28" s="17" t="n">
        <f aca="false">SUM(H26,H27)</f>
        <v>1500</v>
      </c>
      <c r="I28" s="17" t="n">
        <f aca="false">SUM(I26,I27)</f>
        <v>1500</v>
      </c>
      <c r="J28" s="17" t="n">
        <f aca="false">SUM(J26,J27)</f>
        <v>1500</v>
      </c>
      <c r="K28" s="17" t="n">
        <f aca="false">SUM(K26,K27)</f>
        <v>1500</v>
      </c>
      <c r="L28" s="17" t="n">
        <f aca="false">SUM(L26,L27)</f>
        <v>1500</v>
      </c>
      <c r="M28" s="17" t="n">
        <f aca="false">SUM(M26,M27)</f>
        <v>1500</v>
      </c>
      <c r="N28" s="17" t="n">
        <f aca="false">SUM(N26,N27)</f>
        <v>1500</v>
      </c>
      <c r="O28" s="17" t="n">
        <f aca="false">SUM(C28:N28)</f>
        <v>18000</v>
      </c>
    </row>
    <row r="29" customFormat="false" ht="15" hidden="false" customHeight="false" outlineLevel="0" collapsed="false"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</row>
    <row r="30" customFormat="false" ht="15" hidden="false" customHeight="false" outlineLevel="0" collapsed="false">
      <c r="B30" s="6" t="s">
        <v>130</v>
      </c>
      <c r="C30" s="7" t="n">
        <f aca="false">C7+C23+C28</f>
        <v>16576</v>
      </c>
      <c r="D30" s="7" t="n">
        <f aca="false">D7+D23+D28</f>
        <v>2626</v>
      </c>
      <c r="E30" s="7" t="n">
        <f aca="false">E7+E23+E28</f>
        <v>2626</v>
      </c>
      <c r="F30" s="7" t="n">
        <f aca="false">F7+F23+F28</f>
        <v>2626</v>
      </c>
      <c r="G30" s="7" t="n">
        <f aca="false">G7+G23+G28</f>
        <v>2626</v>
      </c>
      <c r="H30" s="7" t="n">
        <f aca="false">H7+H23+H28</f>
        <v>2626</v>
      </c>
      <c r="I30" s="7" t="n">
        <f aca="false">I7+I23+I28</f>
        <v>3126</v>
      </c>
      <c r="J30" s="7" t="n">
        <f aca="false">J7+J23+J28</f>
        <v>3126</v>
      </c>
      <c r="K30" s="7" t="n">
        <f aca="false">K7+K23+K28</f>
        <v>3126</v>
      </c>
      <c r="L30" s="7" t="n">
        <f aca="false">L7+L23+L28</f>
        <v>3126</v>
      </c>
      <c r="M30" s="7" t="n">
        <f aca="false">M7+M23+M28</f>
        <v>3126</v>
      </c>
      <c r="N30" s="7" t="n">
        <f aca="false">N7+N23+N28</f>
        <v>3126</v>
      </c>
      <c r="O30" s="7" t="n">
        <f aca="false">SUM(C30:N30)</f>
        <v>48462</v>
      </c>
    </row>
    <row r="31" customFormat="false" ht="15" hidden="false" customHeight="false" outlineLevel="0" collapsed="false"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</row>
    <row r="32" customFormat="false" ht="15" hidden="false" customHeight="false" outlineLevel="0" collapsed="false">
      <c r="B32" s="3" t="s">
        <v>131</v>
      </c>
      <c r="C32" s="23" t="n">
        <f aca="false">C30</f>
        <v>16576</v>
      </c>
      <c r="D32" s="23" t="n">
        <f aca="false">C32+D30</f>
        <v>19202</v>
      </c>
      <c r="E32" s="23" t="n">
        <f aca="false">D32+E30</f>
        <v>21828</v>
      </c>
      <c r="F32" s="23" t="n">
        <f aca="false">E32+F30</f>
        <v>24454</v>
      </c>
      <c r="G32" s="23" t="n">
        <f aca="false">F32+G30</f>
        <v>27080</v>
      </c>
      <c r="H32" s="23" t="n">
        <f aca="false">G32+H30</f>
        <v>29706</v>
      </c>
      <c r="I32" s="23" t="n">
        <f aca="false">H32+I30</f>
        <v>32832</v>
      </c>
      <c r="J32" s="23" t="n">
        <f aca="false">I32+J30</f>
        <v>35958</v>
      </c>
      <c r="K32" s="23" t="n">
        <f aca="false">J32+K30</f>
        <v>39084</v>
      </c>
      <c r="L32" s="23" t="n">
        <f aca="false">K32+L30</f>
        <v>42210</v>
      </c>
      <c r="M32" s="23" t="n">
        <f aca="false">L32+M30</f>
        <v>45336</v>
      </c>
      <c r="N32" s="23" t="n">
        <f aca="false">M32+N30</f>
        <v>48462</v>
      </c>
      <c r="O32" s="1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2026-07-02T20:28:12Z</dcterms:created>
  <dc:creator>openpyxl</dc:creator>
  <dc:description/>
  <dc:language>en-US</dc:language>
  <cp:lastModifiedBy/>
  <dcterms:modified xsi:type="dcterms:W3CDTF">2026-07-02T20:28:12Z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